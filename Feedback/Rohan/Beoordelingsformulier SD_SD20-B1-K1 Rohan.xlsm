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omments3.xml" ContentType="application/vnd.openxmlformats-officedocument.spreadsheetml.comments+xml"/>
  <Override PartName="/xl/drawings/drawing4.xml" ContentType="application/vnd.openxmlformats-officedocument.drawing+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omments4.xml" ContentType="application/vnd.openxmlformats-officedocument.spreadsheetml.comments+xml"/>
  <Override PartName="/xl/drawings/drawing5.xml" ContentType="application/vnd.openxmlformats-officedocument.drawing+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omments5.xml" ContentType="application/vnd.openxmlformats-officedocument.spreadsheetml.comments+xml"/>
  <Override PartName="/xl/drawings/drawing6.xml" ContentType="application/vnd.openxmlformats-officedocument.drawing+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omments7.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129" codeName="{00000000-0000-0000-0000-000000000000}"/>
  <workbookPr codeName="ThisWorkbook"/>
  <mc:AlternateContent xmlns:mc="http://schemas.openxmlformats.org/markup-compatibility/2006">
    <mc:Choice Requires="x15">
      <x15ac:absPath xmlns:x15ac="http://schemas.microsoft.com/office/spreadsheetml/2010/11/ac" url="C:\Users\Hamza\Downloads\"/>
    </mc:Choice>
  </mc:AlternateContent>
  <xr:revisionPtr revIDLastSave="0" documentId="8_{3DBDC78E-C39F-4773-8A94-D80E497B7635}" xr6:coauthVersionLast="47" xr6:coauthVersionMax="47" xr10:uidLastSave="{00000000-0000-0000-0000-000000000000}"/>
  <bookViews>
    <workbookView xWindow="-108" yWindow="-108" windowWidth="23256" windowHeight="12456" tabRatio="840" firstSheet="5" activeTab="10" xr2:uid="{00000000-000D-0000-FFFF-FFFF00000000}"/>
  </bookViews>
  <sheets>
    <sheet name="Systeem" sheetId="3" state="veryHidden" r:id="rId1"/>
    <sheet name="SjabloonVoorblad" sheetId="88" state="veryHidden" r:id="rId2"/>
    <sheet name="SjabloonWerkproces" sheetId="27" state="veryHidden" r:id="rId3"/>
    <sheet name="KerntakenEnWerkprocessen" sheetId="1" state="veryHidden" r:id="rId4"/>
    <sheet name="Beheersingsniveaus" sheetId="2" state="veryHidden" r:id="rId5"/>
    <sheet name="Voorblad" sheetId="93" r:id="rId6"/>
    <sheet name="B1-K1-W1" sheetId="94" r:id="rId7"/>
    <sheet name="B1-K1-W2" sheetId="95" r:id="rId8"/>
    <sheet name="B1-K1-W3" sheetId="96" r:id="rId9"/>
    <sheet name="B1-K1-W4" sheetId="97" r:id="rId10"/>
    <sheet name="B1-K1-W5" sheetId="98" r:id="rId11"/>
  </sheets>
  <definedNames>
    <definedName name="_xlnm.Print_Area" localSheetId="6">'B1-K1-W1'!$B:$G</definedName>
    <definedName name="_xlnm.Print_Area" localSheetId="7">'B1-K1-W2'!$B:$G</definedName>
    <definedName name="_xlnm.Print_Area" localSheetId="8">'B1-K1-W3'!$B:$G</definedName>
    <definedName name="_xlnm.Print_Area" localSheetId="9">'B1-K1-W4'!$B:$G</definedName>
    <definedName name="_xlnm.Print_Area" localSheetId="10">'B1-K1-W5'!$B:$G</definedName>
    <definedName name="_xlnm.Print_Area" localSheetId="1">SjabloonVoorblad!$A:$C</definedName>
    <definedName name="_xlnm.Print_Area" localSheetId="2">SjabloonWerkproces!$B:$G</definedName>
    <definedName name="_xlnm.Print_Area" localSheetId="5">Voorblad!$A:$C</definedName>
    <definedName name="beheersingsniveaus">Beheersingsniveaus!$A$4:$K$103</definedName>
    <definedName name="copyrightText">Systeem!$C$17</definedName>
    <definedName name="debug">Systeem!$B$7</definedName>
    <definedName name="examencode">KerntakenEnWerkprocessen!$C$7</definedName>
    <definedName name="ja">Systeem!$B$3</definedName>
    <definedName name="kerntaakCode">KerntakenEnWerkprocessen!$B$5</definedName>
    <definedName name="kerntaakNaam">KerntakenEnWerkprocessen!$C$5</definedName>
    <definedName name="layoutGreyedOut">Systeem!$C$15</definedName>
    <definedName name="nee">Systeem!$B$4</definedName>
    <definedName name="OLE_LINK1" localSheetId="3">KerntakenEnWerkprocessen!$C$14</definedName>
    <definedName name="showHandtekeningKandidaat">KerntakenEnWerkprocessen!$D$29</definedName>
    <definedName name="werkprocessen">KerntakenEnWerkprocessen!$B$13:$C$27</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7" i="93" l="1"/>
  <c r="B6" i="88"/>
  <c r="C15" i="98"/>
  <c r="C16" i="98"/>
  <c r="C14" i="98"/>
  <c r="C15" i="97"/>
  <c r="C16" i="97"/>
  <c r="C14" i="97"/>
  <c r="C15" i="96"/>
  <c r="C16" i="96"/>
  <c r="C14" i="96"/>
  <c r="C15" i="95"/>
  <c r="C16" i="95"/>
  <c r="C14" i="95"/>
  <c r="C15" i="94"/>
  <c r="C16" i="94"/>
  <c r="C14" i="94"/>
  <c r="B37" i="98" l="1"/>
  <c r="H31" i="98"/>
  <c r="O31" i="98"/>
  <c r="M31" i="98"/>
  <c r="J37" i="98" s="1"/>
  <c r="E35" i="98" s="1"/>
  <c r="E31" i="98"/>
  <c r="D31" i="98"/>
  <c r="C31" i="98"/>
  <c r="B31" i="98"/>
  <c r="H29" i="98"/>
  <c r="H26" i="98"/>
  <c r="C26" i="98" s="1"/>
  <c r="O26" i="98"/>
  <c r="M26" i="98"/>
  <c r="G26" i="98"/>
  <c r="F26" i="98"/>
  <c r="E26" i="98"/>
  <c r="D26" i="98"/>
  <c r="N26" i="98" s="1"/>
  <c r="B26" i="98"/>
  <c r="H25" i="98"/>
  <c r="C25" i="98" s="1"/>
  <c r="O25" i="98"/>
  <c r="M25" i="98"/>
  <c r="G25" i="98"/>
  <c r="F25" i="98"/>
  <c r="N25" i="98" s="1"/>
  <c r="E25" i="98"/>
  <c r="D25" i="98"/>
  <c r="B25" i="98"/>
  <c r="H24" i="98"/>
  <c r="C24" i="98" s="1"/>
  <c r="O24" i="98"/>
  <c r="M24" i="98"/>
  <c r="G24" i="98"/>
  <c r="F24" i="98"/>
  <c r="E24" i="98"/>
  <c r="D24" i="98"/>
  <c r="B24" i="98"/>
  <c r="H22" i="98"/>
  <c r="C35" i="98" s="1"/>
  <c r="B10" i="98"/>
  <c r="B3" i="98"/>
  <c r="B2" i="98"/>
  <c r="C1" i="98"/>
  <c r="B11" i="98" s="1"/>
  <c r="H26" i="97"/>
  <c r="C26" i="97" s="1"/>
  <c r="O26" i="97"/>
  <c r="M26" i="97"/>
  <c r="G26" i="97"/>
  <c r="F26" i="97"/>
  <c r="E26" i="97"/>
  <c r="N26" i="97" s="1"/>
  <c r="D26" i="97"/>
  <c r="B26" i="97"/>
  <c r="H25" i="97"/>
  <c r="C25" i="97" s="1"/>
  <c r="O25" i="97"/>
  <c r="M25" i="97"/>
  <c r="G25" i="97"/>
  <c r="F25" i="97"/>
  <c r="E25" i="97"/>
  <c r="D25" i="97"/>
  <c r="B25" i="97"/>
  <c r="H24" i="97"/>
  <c r="C24" i="97" s="1"/>
  <c r="O24" i="97"/>
  <c r="M24" i="97"/>
  <c r="G24" i="97"/>
  <c r="F24" i="97"/>
  <c r="E24" i="97"/>
  <c r="D24" i="97"/>
  <c r="N24" i="97" s="1"/>
  <c r="B24" i="97"/>
  <c r="H22" i="97"/>
  <c r="B10" i="97"/>
  <c r="B3" i="97"/>
  <c r="B2" i="97"/>
  <c r="C1" i="97"/>
  <c r="B11" i="97" s="1"/>
  <c r="B36" i="96"/>
  <c r="B35" i="96"/>
  <c r="H29" i="96"/>
  <c r="C29" i="96" s="1"/>
  <c r="O29" i="96"/>
  <c r="M29" i="96"/>
  <c r="G29" i="96"/>
  <c r="F29" i="96"/>
  <c r="E29" i="96"/>
  <c r="D29" i="96"/>
  <c r="N29" i="96" s="1"/>
  <c r="B29" i="96"/>
  <c r="H28" i="96"/>
  <c r="C28" i="96" s="1"/>
  <c r="O28" i="96"/>
  <c r="M28" i="96"/>
  <c r="G28" i="96"/>
  <c r="F28" i="96"/>
  <c r="E28" i="96"/>
  <c r="N28" i="96" s="1"/>
  <c r="D28" i="96"/>
  <c r="B28" i="96"/>
  <c r="H27" i="96"/>
  <c r="C27" i="96" s="1"/>
  <c r="O27" i="96"/>
  <c r="M27" i="96"/>
  <c r="G27" i="96"/>
  <c r="F27" i="96"/>
  <c r="E27" i="96"/>
  <c r="D27" i="96"/>
  <c r="B27" i="96"/>
  <c r="H26" i="96"/>
  <c r="C26" i="96" s="1"/>
  <c r="O26" i="96"/>
  <c r="M26" i="96"/>
  <c r="J36" i="96" s="1"/>
  <c r="G26" i="96"/>
  <c r="F26" i="96"/>
  <c r="E26" i="96"/>
  <c r="D26" i="96"/>
  <c r="N26" i="96" s="1"/>
  <c r="B26" i="96"/>
  <c r="H25" i="96"/>
  <c r="C25" i="96" s="1"/>
  <c r="O25" i="96"/>
  <c r="M25" i="96"/>
  <c r="G25" i="96"/>
  <c r="F25" i="96"/>
  <c r="E25" i="96"/>
  <c r="D25" i="96"/>
  <c r="B25" i="96"/>
  <c r="H24" i="96"/>
  <c r="C24" i="96" s="1"/>
  <c r="O24" i="96"/>
  <c r="M24" i="96"/>
  <c r="J35" i="96" s="1"/>
  <c r="G24" i="96"/>
  <c r="F24" i="96"/>
  <c r="E24" i="96"/>
  <c r="D24" i="96"/>
  <c r="N24" i="96" s="1"/>
  <c r="B24" i="96"/>
  <c r="H22" i="96"/>
  <c r="B10" i="96"/>
  <c r="B3" i="96"/>
  <c r="B2" i="96"/>
  <c r="C1" i="96"/>
  <c r="B11" i="96" s="1"/>
  <c r="B32" i="95"/>
  <c r="H26" i="95"/>
  <c r="C26" i="95" s="1"/>
  <c r="O26" i="95"/>
  <c r="M26" i="95"/>
  <c r="G26" i="95"/>
  <c r="F26" i="95"/>
  <c r="E26" i="95"/>
  <c r="D26" i="95"/>
  <c r="N26" i="95" s="1"/>
  <c r="B26" i="95"/>
  <c r="H25" i="95"/>
  <c r="C25" i="95" s="1"/>
  <c r="O25" i="95"/>
  <c r="M25" i="95"/>
  <c r="G25" i="95"/>
  <c r="F25" i="95"/>
  <c r="E25" i="95"/>
  <c r="D25" i="95"/>
  <c r="B25" i="95"/>
  <c r="H24" i="95"/>
  <c r="C24" i="95" s="1"/>
  <c r="O24" i="95"/>
  <c r="M24" i="95"/>
  <c r="J32" i="95" s="1"/>
  <c r="E30" i="95" s="1"/>
  <c r="G24" i="95"/>
  <c r="F24" i="95"/>
  <c r="E24" i="95"/>
  <c r="D24" i="95"/>
  <c r="B24" i="95"/>
  <c r="H22" i="95"/>
  <c r="C30" i="95" s="1"/>
  <c r="B10" i="95"/>
  <c r="B3" i="95"/>
  <c r="B2" i="95"/>
  <c r="C1" i="95"/>
  <c r="B11" i="95" s="1"/>
  <c r="H27" i="94"/>
  <c r="C27" i="94" s="1"/>
  <c r="O27" i="94"/>
  <c r="M27" i="94"/>
  <c r="G27" i="94"/>
  <c r="F27" i="94"/>
  <c r="E27" i="94"/>
  <c r="D27" i="94"/>
  <c r="B27" i="94"/>
  <c r="H26" i="94"/>
  <c r="O26" i="94"/>
  <c r="M26" i="94"/>
  <c r="G26" i="94"/>
  <c r="F26" i="94"/>
  <c r="E26" i="94"/>
  <c r="D26" i="94"/>
  <c r="C26" i="94"/>
  <c r="B26" i="94"/>
  <c r="H25" i="94"/>
  <c r="C25" i="94" s="1"/>
  <c r="O25" i="94"/>
  <c r="M25" i="94"/>
  <c r="G25" i="94"/>
  <c r="F25" i="94"/>
  <c r="E25" i="94"/>
  <c r="D25" i="94"/>
  <c r="B25" i="94"/>
  <c r="H24" i="94"/>
  <c r="O24" i="94"/>
  <c r="M24" i="94"/>
  <c r="G24" i="94"/>
  <c r="F24" i="94"/>
  <c r="N24" i="94" s="1"/>
  <c r="E24" i="94"/>
  <c r="D24" i="94"/>
  <c r="C24" i="94"/>
  <c r="B24" i="94"/>
  <c r="H22" i="94"/>
  <c r="B10" i="94"/>
  <c r="B3" i="94"/>
  <c r="B2" i="94"/>
  <c r="C1" i="94"/>
  <c r="B11" i="94" s="1"/>
  <c r="B13" i="93"/>
  <c r="B11" i="93"/>
  <c r="C10" i="93"/>
  <c r="B10" i="93"/>
  <c r="B9" i="93"/>
  <c r="B8" i="93"/>
  <c r="B6" i="93"/>
  <c r="C5" i="93"/>
  <c r="B5" i="93"/>
  <c r="D4" i="95" l="1"/>
  <c r="N24" i="98"/>
  <c r="N31" i="98"/>
  <c r="B4" i="98" s="1"/>
  <c r="B8" i="98" s="1"/>
  <c r="N25" i="97"/>
  <c r="B6" i="97" s="1"/>
  <c r="N27" i="96"/>
  <c r="N25" i="96"/>
  <c r="B4" i="96" s="1"/>
  <c r="B8" i="96" s="1"/>
  <c r="N25" i="95"/>
  <c r="N24" i="95"/>
  <c r="B5" i="95"/>
  <c r="D44" i="95" s="1"/>
  <c r="B5" i="94"/>
  <c r="D35" i="94" s="1"/>
  <c r="N27" i="94"/>
  <c r="N25" i="94"/>
  <c r="B6" i="94" s="1"/>
  <c r="N26" i="94"/>
  <c r="B4" i="95"/>
  <c r="B8" i="95" s="1"/>
  <c r="C45" i="95" s="1"/>
  <c r="B6" i="95"/>
  <c r="B7" i="95"/>
  <c r="D32" i="95"/>
  <c r="B7" i="96"/>
  <c r="E33" i="96"/>
  <c r="D4" i="97"/>
  <c r="B5" i="97"/>
  <c r="D40" i="97" s="1"/>
  <c r="B7" i="98"/>
  <c r="B6" i="98"/>
  <c r="D37" i="98"/>
  <c r="H35" i="96"/>
  <c r="B5" i="98"/>
  <c r="D4" i="98"/>
  <c r="H36" i="96"/>
  <c r="D4" i="96"/>
  <c r="B5" i="96"/>
  <c r="C41" i="95"/>
  <c r="C44" i="95"/>
  <c r="C42" i="95"/>
  <c r="D4" i="94"/>
  <c r="C1" i="27"/>
  <c r="B11" i="27" s="1"/>
  <c r="D42" i="94" l="1"/>
  <c r="D33" i="97"/>
  <c r="D35" i="97"/>
  <c r="D39" i="97"/>
  <c r="D39" i="94"/>
  <c r="C43" i="95"/>
  <c r="C40" i="95"/>
  <c r="D34" i="97"/>
  <c r="D32" i="97"/>
  <c r="B7" i="97"/>
  <c r="B4" i="97"/>
  <c r="B8" i="97" s="1"/>
  <c r="C38" i="97" s="1"/>
  <c r="D36" i="97"/>
  <c r="B6" i="96"/>
  <c r="D36" i="95"/>
  <c r="D37" i="95"/>
  <c r="D38" i="95"/>
  <c r="D39" i="95"/>
  <c r="C39" i="95"/>
  <c r="C38" i="95"/>
  <c r="C37" i="95"/>
  <c r="C36" i="95"/>
  <c r="D43" i="95"/>
  <c r="D45" i="95"/>
  <c r="D41" i="95"/>
  <c r="D40" i="95"/>
  <c r="D42" i="95"/>
  <c r="D34" i="94"/>
  <c r="D37" i="94"/>
  <c r="D40" i="94"/>
  <c r="B7" i="94"/>
  <c r="D41" i="94"/>
  <c r="B4" i="94"/>
  <c r="B8" i="94" s="1"/>
  <c r="C38" i="94" s="1"/>
  <c r="D36" i="94"/>
  <c r="D43" i="94"/>
  <c r="D38" i="94"/>
  <c r="D33" i="94"/>
  <c r="D44" i="94"/>
  <c r="H40" i="96"/>
  <c r="C39" i="97"/>
  <c r="C33" i="97"/>
  <c r="C31" i="97"/>
  <c r="C36" i="97"/>
  <c r="D37" i="97"/>
  <c r="D38" i="97"/>
  <c r="C51" i="98"/>
  <c r="C48" i="98"/>
  <c r="C45" i="98"/>
  <c r="C42" i="98"/>
  <c r="C50" i="98"/>
  <c r="C47" i="98"/>
  <c r="C44" i="98"/>
  <c r="C41" i="98"/>
  <c r="C49" i="98"/>
  <c r="C46" i="98"/>
  <c r="C43" i="98"/>
  <c r="D51" i="98"/>
  <c r="D48" i="98"/>
  <c r="D45" i="98"/>
  <c r="D42" i="98"/>
  <c r="D50" i="98"/>
  <c r="D47" i="98"/>
  <c r="D44" i="98"/>
  <c r="D41" i="98"/>
  <c r="D49" i="98"/>
  <c r="D46" i="98"/>
  <c r="D43" i="98"/>
  <c r="D63" i="96"/>
  <c r="D60" i="96"/>
  <c r="D57" i="96"/>
  <c r="D54" i="96"/>
  <c r="D51" i="96"/>
  <c r="D48" i="96"/>
  <c r="D45" i="96"/>
  <c r="D62" i="96"/>
  <c r="D59" i="96"/>
  <c r="D56" i="96"/>
  <c r="D53" i="96"/>
  <c r="D50" i="96"/>
  <c r="D47" i="96"/>
  <c r="D61" i="96"/>
  <c r="D58" i="96"/>
  <c r="D55" i="96"/>
  <c r="D52" i="96"/>
  <c r="D49" i="96"/>
  <c r="D46" i="96"/>
  <c r="C63" i="96"/>
  <c r="C60" i="96"/>
  <c r="C57" i="96"/>
  <c r="C54" i="96"/>
  <c r="C51" i="96"/>
  <c r="C48" i="96"/>
  <c r="C45" i="96"/>
  <c r="C62" i="96"/>
  <c r="C59" i="96"/>
  <c r="C56" i="96"/>
  <c r="C53" i="96"/>
  <c r="C50" i="96"/>
  <c r="C47" i="96"/>
  <c r="C61" i="96"/>
  <c r="C58" i="96"/>
  <c r="C55" i="96"/>
  <c r="C52" i="96"/>
  <c r="C49" i="96"/>
  <c r="C46" i="96"/>
  <c r="C44" i="94"/>
  <c r="C41" i="94"/>
  <c r="C35" i="94"/>
  <c r="C32" i="94"/>
  <c r="C39" i="94"/>
  <c r="C33" i="94"/>
  <c r="C42" i="94"/>
  <c r="C43" i="94"/>
  <c r="C40" i="94"/>
  <c r="C37" i="94"/>
  <c r="C34" i="94"/>
  <c r="D4" i="27"/>
  <c r="B52" i="98" l="1"/>
  <c r="B28" i="93" s="1"/>
  <c r="C37" i="97"/>
  <c r="B41" i="97"/>
  <c r="B27" i="93" s="1"/>
  <c r="C40" i="97"/>
  <c r="C35" i="97"/>
  <c r="C32" i="97"/>
  <c r="C34" i="97"/>
  <c r="C36" i="94"/>
  <c r="C33" i="96"/>
  <c r="B64" i="96"/>
  <c r="B26" i="93" s="1"/>
  <c r="B46" i="95"/>
  <c r="B25" i="93" s="1"/>
  <c r="B45" i="94"/>
  <c r="B24" i="93" s="1"/>
  <c r="B10" i="88"/>
  <c r="C5" i="88"/>
  <c r="B5" i="88"/>
  <c r="B30" i="93" l="1" a="1"/>
  <c r="B30" i="93" s="1"/>
  <c r="B8" i="88"/>
  <c r="E14" i="1" l="1" a="1"/>
  <c r="E14" i="1" s="1"/>
  <c r="E15" i="1" a="1"/>
  <c r="E15" i="1" s="1"/>
  <c r="E16" i="1" a="1"/>
  <c r="E16" i="1" s="1"/>
  <c r="E17" i="1" a="1"/>
  <c r="E17" i="1" s="1"/>
  <c r="E18" i="1" a="1"/>
  <c r="E18" i="1" s="1"/>
  <c r="E19" i="1" a="1"/>
  <c r="E19" i="1" s="1"/>
  <c r="E20" i="1" a="1"/>
  <c r="E20" i="1" s="1"/>
  <c r="E21" i="1" a="1"/>
  <c r="E21" i="1" s="1"/>
  <c r="E22" i="1" a="1"/>
  <c r="E22" i="1" s="1"/>
  <c r="E23" i="1" a="1"/>
  <c r="E23" i="1" s="1"/>
  <c r="E24" i="1" a="1"/>
  <c r="E24" i="1" s="1"/>
  <c r="E25" i="1" a="1"/>
  <c r="E25" i="1" s="1"/>
  <c r="E26" i="1" a="1"/>
  <c r="E26" i="1" s="1"/>
  <c r="E27" i="1" a="1"/>
  <c r="E27" i="1" s="1"/>
  <c r="E13" i="1" a="1"/>
  <c r="E13" i="1" s="1"/>
  <c r="D14" i="1" a="1"/>
  <c r="D14" i="1" s="1"/>
  <c r="D15" i="1" a="1"/>
  <c r="D15" i="1" s="1"/>
  <c r="D16" i="1" a="1"/>
  <c r="D16" i="1" s="1"/>
  <c r="D17" i="1" a="1"/>
  <c r="D17" i="1" s="1"/>
  <c r="D18" i="1" a="1"/>
  <c r="D18" i="1" s="1"/>
  <c r="D19" i="1" a="1"/>
  <c r="D19" i="1" s="1"/>
  <c r="D20" i="1" a="1"/>
  <c r="D20" i="1" s="1"/>
  <c r="D21" i="1" a="1"/>
  <c r="D21" i="1" s="1"/>
  <c r="D22" i="1" a="1"/>
  <c r="D22" i="1" s="1"/>
  <c r="D23" i="1" a="1"/>
  <c r="D23" i="1" s="1"/>
  <c r="D24" i="1" a="1"/>
  <c r="D24" i="1" s="1"/>
  <c r="D25" i="1" a="1"/>
  <c r="D25" i="1" s="1"/>
  <c r="D26" i="1" a="1"/>
  <c r="D26" i="1" s="1"/>
  <c r="D27" i="1" a="1"/>
  <c r="D27" i="1" s="1"/>
  <c r="D13" i="1" a="1"/>
  <c r="D13" i="1" s="1"/>
  <c r="C109" i="2"/>
  <c r="D109" i="2" s="1"/>
  <c r="C110" i="2"/>
  <c r="D110" i="2" s="1"/>
  <c r="C111" i="2"/>
  <c r="D111" i="2" s="1"/>
  <c r="C112" i="2"/>
  <c r="D112" i="2" s="1"/>
  <c r="C113" i="2"/>
  <c r="D113" i="2" s="1"/>
  <c r="C114" i="2"/>
  <c r="D114" i="2" s="1"/>
  <c r="C115" i="2"/>
  <c r="D115" i="2" s="1"/>
  <c r="C116" i="2"/>
  <c r="D116" i="2" s="1"/>
  <c r="C117" i="2"/>
  <c r="D117" i="2" s="1"/>
  <c r="C118" i="2"/>
  <c r="D118" i="2" s="1"/>
  <c r="C119" i="2"/>
  <c r="D119" i="2" s="1"/>
  <c r="C120" i="2"/>
  <c r="D120" i="2" s="1"/>
  <c r="C121" i="2"/>
  <c r="D121" i="2" s="1"/>
  <c r="C122" i="2"/>
  <c r="D122" i="2" s="1"/>
  <c r="C123" i="2"/>
  <c r="D123" i="2" s="1"/>
  <c r="C124" i="2"/>
  <c r="D124" i="2" s="1"/>
  <c r="C125" i="2"/>
  <c r="D125" i="2" s="1"/>
  <c r="C126" i="2"/>
  <c r="D126" i="2" s="1"/>
  <c r="C127" i="2"/>
  <c r="D127" i="2" s="1"/>
  <c r="C128" i="2"/>
  <c r="D128" i="2" s="1"/>
  <c r="C129" i="2"/>
  <c r="D129" i="2" s="1"/>
  <c r="C130" i="2"/>
  <c r="D130" i="2" s="1"/>
  <c r="C131" i="2"/>
  <c r="D131" i="2" s="1"/>
  <c r="C132" i="2"/>
  <c r="D132" i="2" s="1"/>
  <c r="C133" i="2"/>
  <c r="D133" i="2" s="1"/>
  <c r="C134" i="2"/>
  <c r="D134" i="2" s="1"/>
  <c r="C135" i="2"/>
  <c r="D135" i="2" s="1"/>
  <c r="C136" i="2"/>
  <c r="D136" i="2" s="1"/>
  <c r="C137" i="2"/>
  <c r="D137" i="2" s="1"/>
  <c r="C138" i="2"/>
  <c r="D138" i="2" s="1"/>
  <c r="C139" i="2"/>
  <c r="D139" i="2" s="1"/>
  <c r="C140" i="2"/>
  <c r="D140" i="2" s="1"/>
  <c r="C141" i="2"/>
  <c r="D141" i="2" s="1"/>
  <c r="C142" i="2"/>
  <c r="D142" i="2" s="1"/>
  <c r="C143" i="2"/>
  <c r="D143" i="2" s="1"/>
  <c r="C144" i="2"/>
  <c r="D144" i="2" s="1"/>
  <c r="C145" i="2"/>
  <c r="D145" i="2" s="1"/>
  <c r="C146" i="2"/>
  <c r="D146" i="2" s="1"/>
  <c r="C147" i="2"/>
  <c r="D147" i="2" s="1"/>
  <c r="C148" i="2"/>
  <c r="D148" i="2" s="1"/>
  <c r="C149" i="2"/>
  <c r="D149" i="2" s="1"/>
  <c r="C150" i="2"/>
  <c r="D150" i="2" s="1"/>
  <c r="C151" i="2"/>
  <c r="D151" i="2" s="1"/>
  <c r="C152" i="2"/>
  <c r="D152" i="2" s="1"/>
  <c r="C153" i="2"/>
  <c r="C104" i="2"/>
  <c r="D104" i="2" s="1"/>
  <c r="C105" i="2"/>
  <c r="D105" i="2" s="1"/>
  <c r="C106" i="2"/>
  <c r="D106" i="2" s="1"/>
  <c r="C107" i="2"/>
  <c r="D107" i="2" s="1"/>
  <c r="C108" i="2"/>
  <c r="D108" i="2" s="1"/>
  <c r="B3" i="27" l="1"/>
  <c r="B2" i="27"/>
  <c r="B7" i="27" l="1"/>
  <c r="B6" i="27"/>
  <c r="B12" i="88" l="1"/>
  <c r="C11" i="88"/>
  <c r="B9" i="88"/>
  <c r="B11" i="88"/>
  <c r="B7" i="88"/>
  <c r="F13" i="1"/>
  <c r="F14" i="1" s="1"/>
  <c r="F15" i="1" s="1"/>
  <c r="F16" i="1" s="1"/>
  <c r="F17" i="1" s="1"/>
  <c r="F18" i="1" s="1"/>
  <c r="F19" i="1" s="1"/>
  <c r="F20" i="1" s="1"/>
  <c r="F21" i="1" s="1"/>
  <c r="F22" i="1" s="1"/>
  <c r="F23" i="1" s="1"/>
  <c r="F24" i="1" s="1"/>
  <c r="F25" i="1" s="1"/>
  <c r="F26" i="1" s="1"/>
  <c r="F27" i="1" s="1"/>
  <c r="F2" i="1" s="1"/>
  <c r="B14" i="88" l="1"/>
  <c r="B5" i="27"/>
  <c r="B4" i="27" l="1"/>
  <c r="B8" i="27" s="1"/>
  <c r="B10" i="27" l="1"/>
  <c r="C5" i="2"/>
  <c r="C6" i="2"/>
  <c r="C7" i="2"/>
  <c r="C8" i="2"/>
  <c r="C9" i="2"/>
  <c r="C10" i="2"/>
  <c r="C11" i="2"/>
  <c r="C12" i="2"/>
  <c r="C13" i="2"/>
  <c r="C14" i="2"/>
  <c r="C15" i="2"/>
  <c r="C16" i="2"/>
  <c r="C17" i="2"/>
  <c r="C18" i="2"/>
  <c r="C19" i="2"/>
  <c r="C20" i="2"/>
  <c r="C21" i="2"/>
  <c r="D21" i="2" s="1"/>
  <c r="C22" i="2"/>
  <c r="D22" i="2" s="1"/>
  <c r="C23" i="2"/>
  <c r="D23" i="2" s="1"/>
  <c r="C24" i="2"/>
  <c r="D24" i="2" s="1"/>
  <c r="C25" i="2"/>
  <c r="D25" i="2" s="1"/>
  <c r="C26" i="2"/>
  <c r="D26" i="2" s="1"/>
  <c r="C27" i="2"/>
  <c r="D27" i="2" s="1"/>
  <c r="C28" i="2"/>
  <c r="D28" i="2" s="1"/>
  <c r="C29" i="2"/>
  <c r="D29" i="2" s="1"/>
  <c r="C30" i="2"/>
  <c r="D30" i="2" s="1"/>
  <c r="C31" i="2"/>
  <c r="D31" i="2" s="1"/>
  <c r="C32" i="2"/>
  <c r="D32" i="2" s="1"/>
  <c r="C33" i="2"/>
  <c r="D33" i="2" s="1"/>
  <c r="C34" i="2"/>
  <c r="D34" i="2" s="1"/>
  <c r="C35" i="2"/>
  <c r="D35" i="2" s="1"/>
  <c r="C36" i="2"/>
  <c r="D36" i="2" s="1"/>
  <c r="C37" i="2"/>
  <c r="D37" i="2" s="1"/>
  <c r="C38" i="2"/>
  <c r="D38" i="2" s="1"/>
  <c r="C39" i="2"/>
  <c r="D39" i="2" s="1"/>
  <c r="C40" i="2"/>
  <c r="D40" i="2" s="1"/>
  <c r="C41" i="2"/>
  <c r="D41" i="2" s="1"/>
  <c r="C42" i="2"/>
  <c r="D42" i="2" s="1"/>
  <c r="C43" i="2"/>
  <c r="D43" i="2" s="1"/>
  <c r="C44" i="2"/>
  <c r="D44" i="2" s="1"/>
  <c r="C45" i="2"/>
  <c r="D45" i="2" s="1"/>
  <c r="C46" i="2"/>
  <c r="D46" i="2" s="1"/>
  <c r="C47" i="2"/>
  <c r="D47" i="2" s="1"/>
  <c r="C48" i="2"/>
  <c r="D48" i="2" s="1"/>
  <c r="C49" i="2"/>
  <c r="D49" i="2" s="1"/>
  <c r="C50" i="2"/>
  <c r="D50" i="2" s="1"/>
  <c r="C51" i="2"/>
  <c r="D51" i="2" s="1"/>
  <c r="C52" i="2"/>
  <c r="D52" i="2" s="1"/>
  <c r="C53" i="2"/>
  <c r="D53" i="2" s="1"/>
  <c r="C54" i="2"/>
  <c r="D54" i="2" s="1"/>
  <c r="C55" i="2"/>
  <c r="D55" i="2" s="1"/>
  <c r="C56" i="2"/>
  <c r="D56" i="2" s="1"/>
  <c r="C57" i="2"/>
  <c r="D57" i="2" s="1"/>
  <c r="C58" i="2"/>
  <c r="D58" i="2" s="1"/>
  <c r="C59" i="2"/>
  <c r="D59" i="2" s="1"/>
  <c r="C60" i="2"/>
  <c r="D60" i="2" s="1"/>
  <c r="C61" i="2"/>
  <c r="D61" i="2" s="1"/>
  <c r="C62" i="2"/>
  <c r="D62" i="2" s="1"/>
  <c r="C63" i="2"/>
  <c r="D63" i="2" s="1"/>
  <c r="C64" i="2"/>
  <c r="D64" i="2" s="1"/>
  <c r="C65" i="2"/>
  <c r="D65" i="2" s="1"/>
  <c r="C66" i="2"/>
  <c r="D66" i="2" s="1"/>
  <c r="C67" i="2"/>
  <c r="D67" i="2" s="1"/>
  <c r="C68" i="2"/>
  <c r="D68" i="2" s="1"/>
  <c r="C69" i="2"/>
  <c r="D69" i="2" s="1"/>
  <c r="C70" i="2"/>
  <c r="D70" i="2" s="1"/>
  <c r="C71" i="2"/>
  <c r="D71" i="2" s="1"/>
  <c r="C72" i="2"/>
  <c r="D72" i="2" s="1"/>
  <c r="C73" i="2"/>
  <c r="D73" i="2" s="1"/>
  <c r="C74" i="2"/>
  <c r="D74" i="2" s="1"/>
  <c r="C75" i="2"/>
  <c r="D75" i="2" s="1"/>
  <c r="C76" i="2"/>
  <c r="D76" i="2" s="1"/>
  <c r="C77" i="2"/>
  <c r="D77" i="2" s="1"/>
  <c r="C78" i="2"/>
  <c r="D78" i="2" s="1"/>
  <c r="C79" i="2"/>
  <c r="D79" i="2" s="1"/>
  <c r="C80" i="2"/>
  <c r="D80" i="2" s="1"/>
  <c r="C81" i="2"/>
  <c r="D81" i="2" s="1"/>
  <c r="C82" i="2"/>
  <c r="D82" i="2" s="1"/>
  <c r="C83" i="2"/>
  <c r="D83" i="2" s="1"/>
  <c r="C84" i="2"/>
  <c r="D84" i="2" s="1"/>
  <c r="C85" i="2"/>
  <c r="D85" i="2" s="1"/>
  <c r="C86" i="2"/>
  <c r="D86" i="2" s="1"/>
  <c r="C87" i="2"/>
  <c r="D87" i="2" s="1"/>
  <c r="C88" i="2"/>
  <c r="D88" i="2" s="1"/>
  <c r="C89" i="2"/>
  <c r="D89" i="2" s="1"/>
  <c r="C90" i="2"/>
  <c r="D90" i="2" s="1"/>
  <c r="C91" i="2"/>
  <c r="D91" i="2" s="1"/>
  <c r="C92" i="2"/>
  <c r="D92" i="2" s="1"/>
  <c r="C93" i="2"/>
  <c r="D93" i="2" s="1"/>
  <c r="C94" i="2"/>
  <c r="D94" i="2" s="1"/>
  <c r="C95" i="2"/>
  <c r="D95" i="2" s="1"/>
  <c r="C96" i="2"/>
  <c r="D96" i="2" s="1"/>
  <c r="C97" i="2"/>
  <c r="D97" i="2" s="1"/>
  <c r="C98" i="2"/>
  <c r="D98" i="2" s="1"/>
  <c r="C99" i="2"/>
  <c r="D99" i="2" s="1"/>
  <c r="C100" i="2"/>
  <c r="D100" i="2" s="1"/>
  <c r="C101" i="2"/>
  <c r="D101" i="2" s="1"/>
  <c r="C102" i="2"/>
  <c r="D102" i="2" s="1"/>
  <c r="C103" i="2"/>
  <c r="D103" i="2" s="1"/>
  <c r="C4" i="2"/>
  <c r="D153" i="2" l="1"/>
  <c r="D16" i="2"/>
  <c r="D9" i="2"/>
  <c r="D5" i="2"/>
  <c r="D15" i="2"/>
  <c r="D8" i="2"/>
  <c r="D7" i="2"/>
  <c r="D13" i="2"/>
  <c r="D6" i="2"/>
  <c r="D20" i="2"/>
  <c r="D12" i="2"/>
  <c r="D14" i="2"/>
  <c r="D19" i="2"/>
  <c r="D11" i="2"/>
  <c r="D18" i="2"/>
  <c r="D17" i="2"/>
  <c r="D10" i="2"/>
  <c r="D4"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B19" authorId="0" shapeId="0" xr:uid="{00000000-0006-0000-0000-000001000000}">
      <text>
        <r>
          <rPr>
            <b/>
            <sz val="9"/>
            <color indexed="81"/>
            <rFont val="Tahoma"/>
            <family val="2"/>
          </rPr>
          <t xml:space="preserve">Toelichting:
</t>
        </r>
        <r>
          <rPr>
            <sz val="9"/>
            <color indexed="81"/>
            <rFont val="Tahoma"/>
            <family val="2"/>
          </rPr>
          <t>De werkprocesnaam kan worden afgebroken door met ALT+ENTER een regeleinde in te voegen. Tevens is het mogelijk dit automatisch te laten gebeuren na een x-aantal tekens. Indien dit laatste ongewenst is kan gekozen worden om een zeer groot aantal in te vullen (bijvoorbeeld 1000).</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D4" authorId="0" shapeId="0" xr:uid="{00000000-0006-0000-0200-000001000000}">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D4" authorId="0" shapeId="0" xr:uid="{C3D82579-2F2B-4C60-8620-BB783F355DC1}">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D4" authorId="0" shapeId="0" xr:uid="{59797A79-349A-45BC-9B78-6D160577C579}">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D4" authorId="0" shapeId="0" xr:uid="{F3179C72-A2CC-4057-803C-E250E33D00C3}">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D4" authorId="0" shapeId="0" xr:uid="{AC6D3FE4-58A1-4109-A19A-2859C071E0B1}">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D4" authorId="0" shapeId="0" xr:uid="{8927E080-0967-45DB-8975-336EE6162197}">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<sst xmlns="http://schemas.openxmlformats.org/spreadsheetml/2006/main" count="579" uniqueCount="214">
  <si>
    <t>Ja/Nee</t>
  </si>
  <si>
    <t>Ja</t>
  </si>
  <si>
    <t>Nee</t>
  </si>
  <si>
    <t>Debug modus</t>
  </si>
  <si>
    <t>Normale bedrijfsstand =  0</t>
  </si>
  <si>
    <t>Teksten</t>
  </si>
  <si>
    <t>Werkproces motivatie:</t>
  </si>
  <si>
    <t xml:space="preserve">Doe dit volgens richtlijnen van de school. Het is raadzaam om in elk geval een onvoldoende te motiveren.
Bij de motivering kan gebruik gemaakt worden van de beschrijvingen in de beoordelingstabel.
</t>
  </si>
  <si>
    <t>Fout markeer opmaak:</t>
  </si>
  <si>
    <t>"Grey-out" opmaak:</t>
  </si>
  <si>
    <t>greyed out</t>
  </si>
  <si>
    <t>Copyright tekst:</t>
  </si>
  <si>
    <t>© Stichting Praktijkleren</t>
  </si>
  <si>
    <t>Regel afbreken werkprocesnaam:</t>
  </si>
  <si>
    <t>Systeem versie:</t>
  </si>
  <si>
    <t>30g</t>
  </si>
  <si>
    <t>Beoordelingsformulier praktijkexamen</t>
  </si>
  <si>
    <t>Algemene informatie</t>
  </si>
  <si>
    <t>Code beoordelingsformulier en vaststellingsdatum</t>
  </si>
  <si>
    <t>Examenvorm</t>
  </si>
  <si>
    <t>Examennaam</t>
  </si>
  <si>
    <t>Examencode</t>
  </si>
  <si>
    <t>Profiel</t>
  </si>
  <si>
    <t>Kwalificatiedossier</t>
  </si>
  <si>
    <t>Cohort en crebocode</t>
  </si>
  <si>
    <t>Kerntaak</t>
  </si>
  <si>
    <t>Werkprocessen</t>
  </si>
  <si>
    <t>Werkproces:</t>
  </si>
  <si>
    <t>Eerste opdracht:</t>
  </si>
  <si>
    <t>Laatste opdracht:</t>
  </si>
  <si>
    <t>PuntentotaalMax</t>
  </si>
  <si>
    <t>Invullen gestart:</t>
  </si>
  <si>
    <t>PuntentotaalBehaald</t>
  </si>
  <si>
    <t>#Ant. Mog. &lt;=1</t>
  </si>
  <si>
    <t>#Ant. Mog. 2-3</t>
  </si>
  <si>
    <t>Cesuur</t>
  </si>
  <si>
    <t>Persoonsinformatie</t>
  </si>
  <si>
    <t>Datum</t>
  </si>
  <si>
    <t>Student</t>
  </si>
  <si>
    <t>Studentnummer</t>
  </si>
  <si>
    <t>Klas</t>
  </si>
  <si>
    <t>Beoordelaar 1</t>
  </si>
  <si>
    <t>Beoordelaar 2</t>
  </si>
  <si>
    <t>Kerntaken en werkprocessen</t>
  </si>
  <si>
    <t>Vaststellingsdatum</t>
  </si>
  <si>
    <t>Code beoordelingsformulier</t>
  </si>
  <si>
    <t>BF_SD_SD20_B1-K1_2</t>
  </si>
  <si>
    <t>B1-K1</t>
  </si>
  <si>
    <t>Realiseert software</t>
  </si>
  <si>
    <t>Praktijkexamen</t>
  </si>
  <si>
    <t>Examennaam en Examencode</t>
  </si>
  <si>
    <t>[Examennaam]</t>
  </si>
  <si>
    <t xml:space="preserve">SD_SD20_B1-K1_2v3 </t>
  </si>
  <si>
    <t>Kwalificatiedossier en Cohort</t>
  </si>
  <si>
    <t>Softwaredevelopment</t>
  </si>
  <si>
    <t>2020 en verder</t>
  </si>
  <si>
    <t>Profiel en crebocode</t>
  </si>
  <si>
    <t>P1: Software developer, 4</t>
  </si>
  <si>
    <t>Code</t>
  </si>
  <si>
    <t>Naam</t>
  </si>
  <si>
    <t>EersteOpdracht</t>
  </si>
  <si>
    <t>LaatsteOpdracht</t>
  </si>
  <si>
    <t>TekstSamengevoegd</t>
  </si>
  <si>
    <t>B1-K1-W1</t>
  </si>
  <si>
    <t>Plant werkzaamheden en bewaakt de voortgang</t>
  </si>
  <si>
    <t>B1-K1-W2</t>
  </si>
  <si>
    <t>Ontwerpt software</t>
  </si>
  <si>
    <t>B1-K1-W3</t>
  </si>
  <si>
    <t>Realiseert (onderdelen van) software</t>
  </si>
  <si>
    <t>B1-K1-W4</t>
  </si>
  <si>
    <t>Test software</t>
  </si>
  <si>
    <t>B1-K1-W5</t>
  </si>
  <si>
    <t>Doet verbetervoorstellen voor de software</t>
  </si>
  <si>
    <t>Handtekening kandidaat tonen:</t>
  </si>
  <si>
    <t>Beschrijvingen beheersingsniveaus</t>
  </si>
  <si>
    <t>Werkproces</t>
  </si>
  <si>
    <t>Opdracht</t>
  </si>
  <si>
    <t>OpdrachtId</t>
  </si>
  <si>
    <t>CriteriumId</t>
  </si>
  <si>
    <t>Taken</t>
  </si>
  <si>
    <t>Criterium</t>
  </si>
  <si>
    <t>Beheersingsniveau 0</t>
  </si>
  <si>
    <t>Beheersingsniveau 1</t>
  </si>
  <si>
    <t>Beheersingsniveau 2</t>
  </si>
  <si>
    <t>Beheersingsniveau 3</t>
  </si>
  <si>
    <t>Cruciaal</t>
  </si>
  <si>
    <t>T1, T2, T3, T4</t>
  </si>
  <si>
    <t xml:space="preserve">Eisen/wensen user stories </t>
  </si>
  <si>
    <t>De uitgangspunten zijn juist verwerkt (Definition of done) en de eisen en wensen zijn verwerkt in de user stories.
Niet of nauwelijks</t>
  </si>
  <si>
    <t>Weinig</t>
  </si>
  <si>
    <t>Grotendeels</t>
  </si>
  <si>
    <t>Volledig</t>
  </si>
  <si>
    <t>Criteria user stories</t>
  </si>
  <si>
    <t>De user stories voldoen aan de criteria (wie, wat, waarom en realistisch).
Niet of nauwelijks</t>
  </si>
  <si>
    <t>Planning maken</t>
  </si>
  <si>
    <t>Op basis van de user stories is een complete en realistische planning gemaakt,
Niet of nauwelijks</t>
  </si>
  <si>
    <t>Voortgang bewaken</t>
  </si>
  <si>
    <t>De voortgang is bewaakt en de juiste keuzes/afwegingen zijn gemaakt op basis van prioriteiten.
Niet of nauwelijks</t>
  </si>
  <si>
    <t>Enigszins</t>
  </si>
  <si>
    <t>T4</t>
  </si>
  <si>
    <t>Ontwerp</t>
  </si>
  <si>
    <t>De user stories zijn vertaald naar een passend, eenduidig en volledig ontwerp (sluit aan op wensen en eisen).
Niet of nauwelijks</t>
  </si>
  <si>
    <t>Schema-technieken</t>
  </si>
  <si>
    <t>Er is gebruik gemaakt van relevante of toepasselijke schematechnieken (bijv. activiteitendiagram, klassendiagram, ERD, use case diagram).
Niet of nauwelijks</t>
  </si>
  <si>
    <t>Onderbouwing</t>
  </si>
  <si>
    <t>De gemaakte keuzes in het ontwerp zijn onderbouwd met steekhoudende argumenten, waarbij rekening is gehouden met bijv. ethiek, privacy en security.
Niet of nauwelijks</t>
  </si>
  <si>
    <t>T5</t>
  </si>
  <si>
    <t>Gerealiseerde user stories</t>
  </si>
  <si>
    <t>Er is voldoende inhoud van de user stories gerealiseerd binnen de gestelde/geplande tijd.
Niet of nauwelijks</t>
  </si>
  <si>
    <t>Kwaliteit opgeleverde functionaliteiten</t>
  </si>
  <si>
    <t>De opgeleverde functionaliteiten voldoen aan de eisen en wensen zoals omschreven in de betreffende user story.
Niet of nauwelijks</t>
  </si>
  <si>
    <t>Kwaliteit code</t>
  </si>
  <si>
    <t>De kwaliteit van de code is goed. Dit uit zich onder andere in: structuur van de code, validatie, efficiëntie, foutafhandeling en terugkoppeling, security (veilig programmeren). 
Niet of nauwelijks</t>
  </si>
  <si>
    <t>Code conventions</t>
  </si>
  <si>
    <t>De code is opgesteld volgens code conventions.
Niet of nauwelijks</t>
  </si>
  <si>
    <t>Verzorging code</t>
  </si>
  <si>
    <t>De code is verzorgd, leesbaar, gestructureerd en voorzien van zinvol commentaar.
Niet of nauwelijks</t>
  </si>
  <si>
    <t>Versiebeheer</t>
  </si>
  <si>
    <t>Versiebeheer is effectief toegepast.
Niet of nauwelijks</t>
  </si>
  <si>
    <t>T6</t>
  </si>
  <si>
    <t>Testplan</t>
  </si>
  <si>
    <t>De testcases in het testplan sluiten aan op de user stories en bevatten alle scenario's.
Niet of nauwelijks</t>
  </si>
  <si>
    <t xml:space="preserve">Testscenario </t>
  </si>
  <si>
    <t>De stappen, het gewenste resultaat en testdata zijn benoemd. Niet alleen het hoofdscenario, maar ook alternatieve scenario’s. 
Niet of nauwelijks</t>
  </si>
  <si>
    <t>Testrapport</t>
  </si>
  <si>
    <t>Het testrapport bevat
de juiste resultaten 
en conclusies.
Niet of nauwelijks</t>
  </si>
  <si>
    <t>T9</t>
  </si>
  <si>
    <t>Testen</t>
  </si>
  <si>
    <t xml:space="preserve">De juiste verbetervoorstellen zijn gedaan vanuit het testen.
Niet of nauwelijks
</t>
  </si>
  <si>
    <t>Oplevering</t>
  </si>
  <si>
    <t>De juiste
verbetervoorstellen
zijn gedaan vanuit 
de oplevering.
Niet of nauwelijks</t>
  </si>
  <si>
    <t>Reflectie</t>
  </si>
  <si>
    <t>De juiste verbetervoorstellen zijn gedaan vanuit de reflectie.
Niet of nauwelijks</t>
  </si>
  <si>
    <t>T10</t>
  </si>
  <si>
    <t>Authenticiteit</t>
  </si>
  <si>
    <t>De examinator(en) is/zijn overtuigd van de authenticiteit van het gemaakte werk van de kandidaat. 
Nee</t>
  </si>
  <si>
    <t xml:space="preserve"> [Vul alleen de gele cellen in]</t>
  </si>
  <si>
    <t>Praktijkbeoordelaar</t>
  </si>
  <si>
    <t>Schoolbeoordelaar</t>
  </si>
  <si>
    <t>Resultaat</t>
  </si>
  <si>
    <t>[Laat de rode cellen leeg. Excel vult het resultaat automatisch in na beoordeling van de werkprocessen.]</t>
  </si>
  <si>
    <t>Eindresultaat</t>
  </si>
  <si>
    <t>Handtekening praktijkbeoordelaar</t>
  </si>
  <si>
    <t>Handtekening schoolbeoordelaar</t>
  </si>
  <si>
    <t>Beoordeling opdracht 1</t>
  </si>
  <si>
    <t>Opdracht:</t>
  </si>
  <si>
    <t>OpdrachtId:</t>
  </si>
  <si>
    <t>B1-K1-W1-1</t>
  </si>
  <si>
    <t>Aantal criteria:</t>
  </si>
  <si>
    <t>Taak</t>
  </si>
  <si>
    <t>Cb0</t>
  </si>
  <si>
    <t>Cb1</t>
  </si>
  <si>
    <t>Cb2</t>
  </si>
  <si>
    <t>Cb3</t>
  </si>
  <si>
    <t>CheckboxenIngevuld</t>
  </si>
  <si>
    <t>B1-K1-W1-1-1</t>
  </si>
  <si>
    <t>B1-K1-W1-1-2</t>
  </si>
  <si>
    <t>B1-K1-W1-1-3</t>
  </si>
  <si>
    <t>B1-K1-W1-1-4</t>
  </si>
  <si>
    <t>Beslissing B1-K1-W1</t>
  </si>
  <si>
    <t>Cijfertabel</t>
  </si>
  <si>
    <t>Punten</t>
  </si>
  <si>
    <t>Cijfer</t>
  </si>
  <si>
    <t>Behaald</t>
  </si>
  <si>
    <t>Motivatie</t>
  </si>
  <si>
    <t>Motiveer de beslissing.</t>
  </si>
  <si>
    <t>(Alleen invullen bij examenportfolio)</t>
  </si>
  <si>
    <t>Het ingeleverde werk is authentiek (eigen werk).</t>
  </si>
  <si>
    <t>Licht zo nodig toe.</t>
  </si>
  <si>
    <t>Beoordeling opdracht 2</t>
  </si>
  <si>
    <t>B1-K1-W2-2</t>
  </si>
  <si>
    <t>B1-K1-W2-2-1</t>
  </si>
  <si>
    <t>B1-K1-W2-2-2</t>
  </si>
  <si>
    <t>B1-K1-W2-2-3</t>
  </si>
  <si>
    <t>* Cruciaal criterium</t>
  </si>
  <si>
    <t>Beslissing B1-K1-W2</t>
  </si>
  <si>
    <t>Cruciale criteria</t>
  </si>
  <si>
    <t>Aantal cruciale criteria:</t>
  </si>
  <si>
    <t>Alle crucialecriteria behaald:</t>
  </si>
  <si>
    <t>Cruciaal criterium</t>
  </si>
  <si>
    <t>Behaald in kolom 1 of hoger</t>
  </si>
  <si>
    <t>cbCruciaalBehaaldJa</t>
  </si>
  <si>
    <t>cbCruciaalBehaaldNee</t>
  </si>
  <si>
    <t>cbCruciaalBehaald</t>
  </si>
  <si>
    <t>Beoordeling opdracht 3</t>
  </si>
  <si>
    <t>B1-K1-W3-3</t>
  </si>
  <si>
    <t>B1-K1-W3-3-1</t>
  </si>
  <si>
    <t>B1-K1-W3-3-2</t>
  </si>
  <si>
    <t>B1-K1-W3-3-3</t>
  </si>
  <si>
    <t>B1-K1-W3-3-4</t>
  </si>
  <si>
    <t>B1-K1-W3-3-5</t>
  </si>
  <si>
    <t>B1-K1-W3-3-6</t>
  </si>
  <si>
    <t>Beslissing B1-K1-W3</t>
  </si>
  <si>
    <t>Zijn alle cruciale criteria behaald?</t>
  </si>
  <si>
    <t>Reik cijfer uit volgens cijfertabel</t>
  </si>
  <si>
    <t>Onvoldoende</t>
  </si>
  <si>
    <t>Beoordeling opdracht 4</t>
  </si>
  <si>
    <t>B1-K1-W4-4</t>
  </si>
  <si>
    <t>B1-K1-W4-4-1</t>
  </si>
  <si>
    <t>B1-K1-W4-4-2</t>
  </si>
  <si>
    <t>B1-K1-W4-4-3</t>
  </si>
  <si>
    <t>Beslissing B1-K1-W4</t>
  </si>
  <si>
    <t>Beoordeling opdracht 5</t>
  </si>
  <si>
    <t>B1-K1-W5-5</t>
  </si>
  <si>
    <t>B1-K1-W5-5-1</t>
  </si>
  <si>
    <t>B1-K1-W5-5-2</t>
  </si>
  <si>
    <t>B1-K1-W5-5-3</t>
  </si>
  <si>
    <t>Beoordeling opdracht 6</t>
  </si>
  <si>
    <t>B1-K1-W5-6</t>
  </si>
  <si>
    <t>B1-K1-W5-6-1</t>
  </si>
  <si>
    <t>Beslissing B1-K1-W5</t>
  </si>
  <si>
    <t>Rohan Dayal</t>
  </si>
  <si>
    <t>Hamza Taha</t>
  </si>
  <si>
    <t>3A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</si>
</sst>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16" x14ac:knownFonts="1">
    <font>
      <sz val="11"/>
      <color theme="1"/>
      <name val="Calibri"/>
      <family val="2"/>
      <scheme val="minor"/>
    </font>
    <font>
      <b/>
      <sz val="11"/>
      <color theme="0"/>
      <name val="Calibri"/>
      <family val="2"/>
      <scheme val="minor"/>
    </font>
    <font>
      <sz val="20"/>
      <color theme="1"/>
      <name val="Calibri"/>
      <family val="2"/>
      <scheme val="minor"/>
    </font>
    <font>
      <sz val="24"/>
      <color theme="1"/>
      <name val="Calibri"/>
      <family val="2"/>
      <scheme val="minor"/>
    </font>
    <font>
      <b/>
      <sz val="11"/>
      <color theme="1"/>
      <name val="Calibri"/>
      <family val="2"/>
      <scheme val="minor"/>
    </font>
    <font>
      <sz val="11"/>
      <color rgb="FF000000"/>
      <name val="Calibri"/>
      <family val="2"/>
      <scheme val="minor"/>
    </font>
    <font>
      <sz val="11"/>
      <color rgb="FF9C0006"/>
      <name val="Calibri"/>
      <family val="2"/>
      <scheme val="minor"/>
    </font>
    <font>
      <sz val="11"/>
      <color theme="2" tint="-0.499984740745262"/>
      <name val="Calibri"/>
      <family val="2"/>
      <scheme val="minor"/>
    </font>
    <font>
      <sz val="9"/>
      <color indexed="81"/>
      <name val="Tahoma"/>
      <family val="2"/>
    </font>
    <font>
      <b/>
      <sz val="9"/>
      <color indexed="81"/>
      <name val="Tahoma"/>
      <family val="2"/>
    </font>
    <font>
      <b/>
      <sz val="11"/>
      <color rgb="FFFFFFFF"/>
      <name val="Calibri"/>
      <family val="2"/>
      <scheme val="minor"/>
    </font>
    <font>
      <u/>
      <sz val="14"/>
      <color theme="1"/>
      <name val="Calibri"/>
      <family val="2"/>
      <scheme val="minor"/>
    </font>
    <font>
      <i/>
      <sz val="11"/>
      <color theme="1"/>
      <name val="Calibri"/>
      <family val="2"/>
      <scheme val="minor"/>
    </font>
    <font>
      <sz val="11"/>
      <color theme="0"/>
      <name val="Calibri"/>
      <family val="2"/>
      <scheme val="minor"/>
    </font>
    <font>
      <sz val="11"/>
      <color rgb="FF000000"/>
      <name val="Calibri"/>
      <family val="2"/>
    </font>
    <font>
      <sz val="8"/>
      <color rgb="FF000000"/>
      <name val="Segoe UI"/>
      <family val="2"/>
    </font>
  </fonts>
  <fills count="18">
    <fill>
      <patternFill patternType="none"/>
    </fill>
    <fill>
      <patternFill patternType="gray125"/>
    </fill>
    <fill>
      <patternFill patternType="solid">
        <fgColor theme="4" tint="0.79998168889431442"/>
        <bgColor indexed="64"/>
      </patternFill>
    </fill>
    <fill>
      <patternFill patternType="solid">
        <fgColor theme="4" tint="-0.249977111117893"/>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theme="9" tint="0.59999389629810485"/>
        <bgColor indexed="64"/>
      </patternFill>
    </fill>
    <fill>
      <patternFill patternType="solid">
        <fgColor theme="9" tint="-0.249977111117893"/>
        <bgColor indexed="64"/>
      </patternFill>
    </fill>
    <fill>
      <patternFill patternType="solid">
        <fgColor rgb="FFEDEDED"/>
        <bgColor indexed="64"/>
      </patternFill>
    </fill>
    <fill>
      <patternFill patternType="solid">
        <fgColor rgb="FFDDEBF7"/>
        <bgColor indexed="64"/>
      </patternFill>
    </fill>
    <fill>
      <patternFill patternType="solid">
        <fgColor rgb="FFFFC7CE"/>
      </patternFill>
    </fill>
    <fill>
      <patternFill patternType="solid">
        <fgColor rgb="FF57345C"/>
        <bgColor indexed="64"/>
      </patternFill>
    </fill>
    <fill>
      <patternFill patternType="solid">
        <fgColor rgb="FFEBF5F1"/>
        <bgColor indexed="64"/>
      </patternFill>
    </fill>
    <fill>
      <patternFill patternType="solid">
        <fgColor indexed="42"/>
        <bgColor indexed="64"/>
      </patternFill>
    </fill>
    <fill>
      <patternFill patternType="solid">
        <fgColor theme="7" tint="0.79998168889431442"/>
        <bgColor indexed="64"/>
      </patternFill>
    </fill>
    <fill>
      <patternFill patternType="solid">
        <fgColor theme="0"/>
        <bgColor indexed="64"/>
      </patternFill>
    </fill>
    <fill>
      <patternFill patternType="solid">
        <fgColor theme="5" tint="0.79998168889431442"/>
        <bgColor indexed="64"/>
      </patternFill>
    </fill>
    <fill>
      <patternFill patternType="solid">
        <fgColor rgb="FFFFF2CC"/>
        <bgColor rgb="FF000000"/>
      </patternFill>
    </fill>
  </fills>
  <borders count="22">
    <border>
      <left/>
      <right/>
      <top/>
      <bottom/>
      <diagonal/>
    </border>
    <border>
      <left/>
      <right style="thin">
        <color theme="4" tint="0.59996337778862885"/>
      </right>
      <top style="thin">
        <color theme="4" tint="0.59996337778862885"/>
      </top>
      <bottom style="thin">
        <color theme="4" tint="0.59996337778862885"/>
      </bottom>
      <diagonal/>
    </border>
    <border>
      <left style="thin">
        <color theme="4" tint="0.59996337778862885"/>
      </left>
      <right style="thin">
        <color theme="4" tint="0.59996337778862885"/>
      </right>
      <top style="thin">
        <color theme="4" tint="0.59996337778862885"/>
      </top>
      <bottom style="thin">
        <color theme="4" tint="0.59996337778862885"/>
      </bottom>
      <diagonal/>
    </border>
    <border>
      <left style="thin">
        <color theme="4" tint="0.59996337778862885"/>
      </left>
      <right/>
      <top style="thin">
        <color theme="4" tint="0.59996337778862885"/>
      </top>
      <bottom style="thin">
        <color theme="4" tint="0.59996337778862885"/>
      </bottom>
      <diagonal/>
    </border>
    <border>
      <left/>
      <right/>
      <top/>
      <bottom style="thin">
        <color auto="1"/>
      </bottom>
      <diagonal/>
    </border>
    <border>
      <left/>
      <right/>
      <top style="thin">
        <color auto="1"/>
      </top>
      <bottom style="thin">
        <color auto="1"/>
      </bottom>
      <diagonal/>
    </border>
    <border>
      <left style="thin">
        <color indexed="64"/>
      </left>
      <right/>
      <top/>
      <bottom style="thin">
        <color auto="1"/>
      </bottom>
      <diagonal/>
    </border>
    <border>
      <left style="thin">
        <color indexed="64"/>
      </left>
      <right/>
      <top style="thin">
        <color auto="1"/>
      </top>
      <bottom style="thin">
        <color auto="1"/>
      </bottom>
      <diagonal/>
    </border>
    <border>
      <left/>
      <right style="thin">
        <color indexed="64"/>
      </right>
      <top/>
      <bottom style="thin">
        <color auto="1"/>
      </bottom>
      <diagonal/>
    </border>
    <border>
      <left/>
      <right style="thin">
        <color indexed="64"/>
      </right>
      <top style="thin">
        <color auto="1"/>
      </top>
      <bottom style="thin">
        <color auto="1"/>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style="thin">
        <color indexed="64"/>
      </left>
      <right/>
      <top/>
      <bottom/>
      <diagonal/>
    </border>
    <border>
      <left/>
      <right style="thin">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2">
    <xf numFmtId="0" fontId="0" fillId="0" borderId="0"/>
    <xf numFmtId="0" fontId="6" fillId="10" borderId="0" applyNumberFormat="0" applyBorder="0" applyAlignment="0" applyProtection="0"/>
  </cellStyleXfs>
  <cellXfs count="122">
    <xf numFmtId="0" fontId="0" fillId="0" borderId="0" xfId="0"/>
    <xf numFmtId="0" fontId="2" fillId="0" borderId="0" xfId="0" applyFont="1" applyAlignment="1">
      <alignment horizontal="left" vertical="center"/>
    </xf>
    <xf numFmtId="0" fontId="0" fillId="2" borderId="0" xfId="0" applyFill="1"/>
    <xf numFmtId="0" fontId="1" fillId="3" borderId="0" xfId="0" applyFont="1" applyFill="1" applyAlignment="1">
      <alignment horizontal="left" vertical="center"/>
    </xf>
    <xf numFmtId="0" fontId="0" fillId="4" borderId="0" xfId="0" applyFill="1"/>
    <xf numFmtId="0" fontId="0" fillId="5" borderId="0" xfId="0" applyFill="1"/>
    <xf numFmtId="0" fontId="0" fillId="4" borderId="0" xfId="0" applyFill="1" applyAlignment="1">
      <alignment horizontal="left"/>
    </xf>
    <xf numFmtId="0" fontId="1" fillId="7" borderId="0" xfId="0" applyFont="1" applyFill="1" applyAlignment="1">
      <alignment horizontal="left" vertical="center"/>
    </xf>
    <xf numFmtId="0" fontId="0" fillId="0" borderId="0" xfId="0" applyAlignment="1">
      <alignment horizontal="left" indent="3"/>
    </xf>
    <xf numFmtId="0" fontId="0" fillId="0" borderId="4" xfId="0" applyBorder="1" applyAlignment="1">
      <alignment horizontal="left" indent="3"/>
    </xf>
    <xf numFmtId="0" fontId="0" fillId="0" borderId="5" xfId="0" applyBorder="1" applyAlignment="1">
      <alignment horizontal="left" indent="3"/>
    </xf>
    <xf numFmtId="0" fontId="0" fillId="0" borderId="6" xfId="0" applyBorder="1"/>
    <xf numFmtId="0" fontId="0" fillId="0" borderId="7" xfId="0" applyBorder="1"/>
    <xf numFmtId="0" fontId="0" fillId="0" borderId="8" xfId="0" applyBorder="1" applyAlignment="1">
      <alignment horizontal="left" indent="3"/>
    </xf>
    <xf numFmtId="0" fontId="0" fillId="0" borderId="9" xfId="0" applyBorder="1" applyAlignment="1">
      <alignment horizontal="left" indent="3"/>
    </xf>
    <xf numFmtId="0" fontId="0" fillId="0" borderId="0" xfId="0" quotePrefix="1"/>
    <xf numFmtId="0" fontId="0" fillId="0" borderId="0" xfId="0" applyAlignment="1">
      <alignment vertical="center"/>
    </xf>
    <xf numFmtId="0" fontId="0" fillId="0" borderId="0" xfId="0" applyAlignment="1">
      <alignment vertical="top"/>
    </xf>
    <xf numFmtId="0" fontId="0" fillId="5" borderId="0" xfId="0" applyFill="1" applyAlignment="1">
      <alignment horizontal="left" vertical="top" wrapText="1"/>
    </xf>
    <xf numFmtId="0" fontId="0" fillId="0" borderId="10" xfId="0" applyBorder="1" applyAlignment="1">
      <alignment horizontal="left" vertical="center" indent="1"/>
    </xf>
    <xf numFmtId="0" fontId="0" fillId="2" borderId="0" xfId="0" applyFill="1" applyAlignment="1">
      <alignment vertical="top" wrapText="1"/>
    </xf>
    <xf numFmtId="0" fontId="0" fillId="2" borderId="0" xfId="0" applyFill="1" applyAlignment="1">
      <alignment vertical="center"/>
    </xf>
    <xf numFmtId="0" fontId="0" fillId="2" borderId="1" xfId="0" applyFill="1" applyBorder="1" applyAlignment="1" applyProtection="1">
      <alignment horizontal="left" vertical="top"/>
      <protection locked="0"/>
    </xf>
    <xf numFmtId="0" fontId="0" fillId="2" borderId="2" xfId="0" applyFill="1" applyBorder="1" applyAlignment="1" applyProtection="1">
      <alignment horizontal="left" vertical="top"/>
      <protection locked="0"/>
    </xf>
    <xf numFmtId="0" fontId="0" fillId="2" borderId="2" xfId="0" applyFill="1" applyBorder="1" applyAlignment="1" applyProtection="1">
      <alignment horizontal="left" vertical="top" wrapText="1"/>
      <protection locked="0"/>
    </xf>
    <xf numFmtId="0" fontId="0" fillId="2" borderId="3" xfId="0" applyFill="1" applyBorder="1" applyAlignment="1" applyProtection="1">
      <alignment horizontal="left" vertical="top"/>
      <protection locked="0"/>
    </xf>
    <xf numFmtId="0" fontId="0" fillId="0" borderId="0" xfId="0" applyAlignment="1">
      <alignment horizontal="left" vertical="top" wrapText="1"/>
    </xf>
    <xf numFmtId="0" fontId="0" fillId="8" borderId="12" xfId="0" applyFill="1" applyBorder="1" applyAlignment="1">
      <alignment horizontal="left" vertical="center" indent="1"/>
    </xf>
    <xf numFmtId="0" fontId="0" fillId="0" borderId="14" xfId="0" applyBorder="1" applyAlignment="1">
      <alignment horizontal="left" vertical="center" indent="1"/>
    </xf>
    <xf numFmtId="0" fontId="0" fillId="0" borderId="13" xfId="0" applyBorder="1" applyAlignment="1">
      <alignment horizontal="left" vertical="center" indent="1"/>
    </xf>
    <xf numFmtId="0" fontId="0" fillId="0" borderId="0" xfId="0" applyAlignment="1">
      <alignment horizontal="left" vertical="top"/>
    </xf>
    <xf numFmtId="0" fontId="5" fillId="9" borderId="2" xfId="0" applyFont="1" applyFill="1" applyBorder="1" applyAlignment="1" applyProtection="1">
      <alignment horizontal="left" vertical="top" wrapText="1"/>
      <protection locked="0"/>
    </xf>
    <xf numFmtId="0" fontId="0" fillId="0" borderId="0" xfId="0" applyAlignment="1">
      <alignment vertical="center" wrapText="1"/>
    </xf>
    <xf numFmtId="0" fontId="6" fillId="10" borderId="0" xfId="1"/>
    <xf numFmtId="0" fontId="0" fillId="0" borderId="11" xfId="0" applyBorder="1" applyAlignment="1">
      <alignment horizontal="left" vertical="center" indent="1"/>
    </xf>
    <xf numFmtId="0" fontId="4" fillId="0" borderId="12" xfId="0" applyFont="1" applyBorder="1" applyAlignment="1">
      <alignment horizontal="center" vertical="center"/>
    </xf>
    <xf numFmtId="0" fontId="5" fillId="0" borderId="0" xfId="0" applyFont="1" applyAlignment="1">
      <alignment horizontal="left" vertical="top"/>
    </xf>
    <xf numFmtId="14" fontId="0" fillId="0" borderId="11" xfId="0" applyNumberFormat="1" applyBorder="1" applyAlignment="1">
      <alignment horizontal="left" vertical="center" indent="1"/>
    </xf>
    <xf numFmtId="0" fontId="7" fillId="0" borderId="0" xfId="0" applyFont="1"/>
    <xf numFmtId="0" fontId="5" fillId="0" borderId="0" xfId="0" applyFont="1" applyAlignment="1">
      <alignment horizontal="left" vertical="top" wrapText="1"/>
    </xf>
    <xf numFmtId="0" fontId="5" fillId="9" borderId="1" xfId="0" applyFont="1" applyFill="1" applyBorder="1" applyAlignment="1" applyProtection="1">
      <alignment horizontal="left" vertical="top"/>
      <protection locked="0"/>
    </xf>
    <xf numFmtId="0" fontId="5" fillId="9" borderId="2" xfId="0" applyFont="1" applyFill="1" applyBorder="1" applyAlignment="1" applyProtection="1">
      <alignment horizontal="left" vertical="top"/>
      <protection locked="0"/>
    </xf>
    <xf numFmtId="0" fontId="5" fillId="9" borderId="3" xfId="0" applyFont="1" applyFill="1" applyBorder="1" applyAlignment="1" applyProtection="1">
      <alignment horizontal="left" vertical="top"/>
      <protection locked="0"/>
    </xf>
    <xf numFmtId="0" fontId="0" fillId="5" borderId="2" xfId="0" applyFill="1" applyBorder="1" applyAlignment="1">
      <alignment horizontal="left" vertical="top"/>
    </xf>
    <xf numFmtId="0" fontId="0" fillId="6" borderId="2" xfId="0" applyFill="1" applyBorder="1" applyAlignment="1">
      <alignment horizontal="left" vertical="top"/>
    </xf>
    <xf numFmtId="0" fontId="5" fillId="9" borderId="0" xfId="0" applyFont="1" applyFill="1" applyAlignment="1">
      <alignment horizontal="left" vertical="top"/>
    </xf>
    <xf numFmtId="14" fontId="5" fillId="9" borderId="0" xfId="0" applyNumberFormat="1" applyFont="1" applyFill="1" applyAlignment="1">
      <alignment horizontal="left" vertical="top" wrapText="1"/>
    </xf>
    <xf numFmtId="0" fontId="0" fillId="4" borderId="0" xfId="0" applyFill="1" applyAlignment="1">
      <alignment horizontal="left" indent="3"/>
    </xf>
    <xf numFmtId="0" fontId="0" fillId="0" borderId="0" xfId="0" applyAlignment="1">
      <alignment horizontal="right"/>
    </xf>
    <xf numFmtId="0" fontId="0" fillId="4" borderId="15" xfId="0" applyFill="1" applyBorder="1"/>
    <xf numFmtId="0" fontId="0" fillId="2" borderId="0" xfId="0" applyFill="1" applyAlignment="1">
      <alignment horizontal="left"/>
    </xf>
    <xf numFmtId="0" fontId="0" fillId="12" borderId="11" xfId="0" applyFill="1" applyBorder="1" applyAlignment="1">
      <alignment horizontal="left" vertical="top" wrapText="1" indent="1"/>
    </xf>
    <xf numFmtId="0" fontId="0" fillId="12" borderId="10" xfId="0" applyFill="1" applyBorder="1" applyAlignment="1">
      <alignment horizontal="left" vertical="center" indent="1"/>
    </xf>
    <xf numFmtId="0" fontId="0" fillId="12" borderId="10" xfId="0" applyFill="1" applyBorder="1" applyAlignment="1">
      <alignment horizontal="left" vertical="center" wrapText="1" indent="1"/>
    </xf>
    <xf numFmtId="0" fontId="0" fillId="12" borderId="12" xfId="0" applyFill="1" applyBorder="1" applyAlignment="1">
      <alignment horizontal="left" vertical="center" indent="1"/>
    </xf>
    <xf numFmtId="0" fontId="0" fillId="12" borderId="11" xfId="0" applyFill="1" applyBorder="1" applyAlignment="1">
      <alignment horizontal="left" vertical="top" indent="1"/>
    </xf>
    <xf numFmtId="0" fontId="0" fillId="12" borderId="6" xfId="0" applyFill="1" applyBorder="1" applyAlignment="1">
      <alignment horizontal="left" vertical="center" indent="2"/>
    </xf>
    <xf numFmtId="0" fontId="5" fillId="9" borderId="0" xfId="0" applyFont="1" applyFill="1" applyAlignment="1">
      <alignment horizontal="left" vertical="top" wrapText="1"/>
    </xf>
    <xf numFmtId="0" fontId="5" fillId="9" borderId="2" xfId="0" applyFont="1" applyFill="1" applyBorder="1" applyAlignment="1">
      <alignment horizontal="left" vertical="top"/>
    </xf>
    <xf numFmtId="0" fontId="0" fillId="13" borderId="0" xfId="0" applyFill="1"/>
    <xf numFmtId="0" fontId="0" fillId="13" borderId="0" xfId="0" applyFill="1" applyAlignment="1">
      <alignment horizontal="left" indent="3"/>
    </xf>
    <xf numFmtId="0" fontId="0" fillId="12" borderId="10" xfId="0" applyFill="1" applyBorder="1" applyAlignment="1">
      <alignment horizontal="center"/>
    </xf>
    <xf numFmtId="0" fontId="0" fillId="12" borderId="0" xfId="0" applyFill="1" applyAlignment="1">
      <alignment horizontal="left" indent="3"/>
    </xf>
    <xf numFmtId="0" fontId="0" fillId="13" borderId="0" xfId="0" applyFill="1" applyAlignment="1">
      <alignment vertical="top" wrapText="1"/>
    </xf>
    <xf numFmtId="0" fontId="0" fillId="0" borderId="10" xfId="0" applyBorder="1" applyAlignment="1">
      <alignment vertical="top" wrapText="1"/>
    </xf>
    <xf numFmtId="0" fontId="0" fillId="0" borderId="10" xfId="0" applyBorder="1" applyAlignment="1">
      <alignment horizontal="left" vertical="top" wrapText="1" indent="3"/>
    </xf>
    <xf numFmtId="0" fontId="11" fillId="0" borderId="0" xfId="0" applyFont="1" applyAlignment="1">
      <alignment vertical="top"/>
    </xf>
    <xf numFmtId="0" fontId="0" fillId="11" borderId="0" xfId="0" applyFill="1" applyAlignment="1">
      <alignment horizontal="left" indent="3"/>
    </xf>
    <xf numFmtId="0" fontId="10" fillId="11" borderId="0" xfId="0" applyFont="1" applyFill="1"/>
    <xf numFmtId="0" fontId="0" fillId="0" borderId="0" xfId="0" applyAlignment="1">
      <alignment horizontal="left"/>
    </xf>
    <xf numFmtId="164" fontId="0" fillId="0" borderId="0" xfId="0" applyNumberFormat="1" applyAlignment="1">
      <alignment horizontal="left"/>
    </xf>
    <xf numFmtId="0" fontId="12" fillId="0" borderId="0" xfId="0" applyFont="1"/>
    <xf numFmtId="0" fontId="10" fillId="11" borderId="0" xfId="0" applyFont="1" applyFill="1" applyAlignment="1">
      <alignment horizontal="left"/>
    </xf>
    <xf numFmtId="0" fontId="10" fillId="11" borderId="0" xfId="0" applyFont="1" applyFill="1" applyAlignment="1">
      <alignment horizontal="left" indent="3"/>
    </xf>
    <xf numFmtId="0" fontId="0" fillId="0" borderId="0" xfId="0" applyAlignment="1">
      <alignment horizontal="left" indent="2"/>
    </xf>
    <xf numFmtId="0" fontId="0" fillId="0" borderId="16" xfId="0" applyBorder="1" applyAlignment="1">
      <alignment horizontal="left" indent="2"/>
    </xf>
    <xf numFmtId="0" fontId="0" fillId="0" borderId="0" xfId="0" applyAlignment="1">
      <alignment horizontal="left" vertical="top" wrapText="1" indent="3"/>
    </xf>
    <xf numFmtId="0" fontId="0" fillId="8" borderId="6" xfId="0" applyFill="1" applyBorder="1" applyAlignment="1">
      <alignment vertical="center"/>
    </xf>
    <xf numFmtId="0" fontId="12" fillId="0" borderId="0" xfId="0" applyFont="1" applyAlignment="1">
      <alignment horizontal="left" vertical="top" wrapText="1"/>
    </xf>
    <xf numFmtId="164" fontId="0" fillId="16" borderId="11" xfId="0" quotePrefix="1" applyNumberFormat="1" applyFill="1" applyBorder="1" applyAlignment="1">
      <alignment horizontal="left"/>
    </xf>
    <xf numFmtId="49" fontId="5" fillId="17" borderId="19" xfId="0" applyNumberFormat="1" applyFont="1" applyFill="1" applyBorder="1" applyAlignment="1">
      <alignment horizontal="left"/>
    </xf>
    <xf numFmtId="49" fontId="0" fillId="0" borderId="0" xfId="0" applyNumberFormat="1"/>
    <xf numFmtId="49" fontId="5" fillId="17" borderId="20" xfId="0" applyNumberFormat="1" applyFont="1" applyFill="1" applyBorder="1" applyAlignment="1">
      <alignment horizontal="left"/>
    </xf>
    <xf numFmtId="49" fontId="5" fillId="17" borderId="21" xfId="0" applyNumberFormat="1" applyFont="1" applyFill="1" applyBorder="1" applyAlignment="1">
      <alignment horizontal="left"/>
    </xf>
    <xf numFmtId="0" fontId="0" fillId="0" borderId="6" xfId="0" applyBorder="1" applyAlignment="1">
      <alignment horizontal="left"/>
    </xf>
    <xf numFmtId="14" fontId="0" fillId="0" borderId="6" xfId="0" applyNumberFormat="1" applyBorder="1" applyAlignment="1">
      <alignment horizontal="left"/>
    </xf>
    <xf numFmtId="49" fontId="0" fillId="0" borderId="6" xfId="0" applyNumberFormat="1" applyBorder="1" applyAlignment="1">
      <alignment horizontal="left"/>
    </xf>
    <xf numFmtId="1" fontId="0" fillId="0" borderId="6" xfId="0" applyNumberFormat="1" applyBorder="1" applyAlignment="1">
      <alignment horizontal="left"/>
    </xf>
    <xf numFmtId="0" fontId="12" fillId="15" borderId="0" xfId="0" applyFont="1" applyFill="1" applyAlignment="1">
      <alignment vertical="top" wrapText="1"/>
    </xf>
    <xf numFmtId="164" fontId="0" fillId="0" borderId="0" xfId="0" quotePrefix="1" applyNumberFormat="1" applyAlignment="1">
      <alignment horizontal="left"/>
    </xf>
    <xf numFmtId="0" fontId="4" fillId="8" borderId="10" xfId="0" applyFont="1" applyFill="1" applyBorder="1" applyAlignment="1">
      <alignment vertical="center"/>
    </xf>
    <xf numFmtId="164" fontId="4" fillId="16" borderId="10" xfId="0" quotePrefix="1" applyNumberFormat="1" applyFont="1" applyFill="1" applyBorder="1" applyAlignment="1">
      <alignment horizontal="left"/>
    </xf>
    <xf numFmtId="164" fontId="0" fillId="0" borderId="0" xfId="0" applyNumberFormat="1"/>
    <xf numFmtId="0" fontId="13" fillId="11" borderId="0" xfId="0" applyFont="1" applyFill="1" applyAlignment="1">
      <alignment horizontal="left" indent="3"/>
    </xf>
    <xf numFmtId="0" fontId="13" fillId="11" borderId="18" xfId="0" applyFont="1" applyFill="1" applyBorder="1" applyAlignment="1">
      <alignment vertical="center" wrapText="1"/>
    </xf>
    <xf numFmtId="0" fontId="13" fillId="11" borderId="17" xfId="0" applyFont="1" applyFill="1" applyBorder="1" applyAlignment="1">
      <alignment vertical="center" wrapText="1"/>
    </xf>
    <xf numFmtId="0" fontId="1" fillId="11" borderId="7" xfId="0" applyFont="1" applyFill="1" applyBorder="1" applyAlignment="1">
      <alignment horizontal="center" vertical="center"/>
    </xf>
    <xf numFmtId="0" fontId="1" fillId="11" borderId="5" xfId="0" applyFont="1" applyFill="1" applyBorder="1" applyAlignment="1">
      <alignment horizontal="center" vertical="center"/>
    </xf>
    <xf numFmtId="0" fontId="1" fillId="11" borderId="9" xfId="0" applyFont="1" applyFill="1" applyBorder="1" applyAlignment="1">
      <alignment horizontal="center" vertical="center"/>
    </xf>
    <xf numFmtId="0" fontId="0" fillId="0" borderId="11" xfId="0" applyBorder="1" applyAlignment="1">
      <alignment horizontal="left" vertical="top" wrapText="1" indent="1"/>
    </xf>
    <xf numFmtId="0" fontId="0" fillId="0" borderId="10" xfId="0" applyBorder="1" applyAlignment="1">
      <alignment horizontal="left" vertical="center" wrapText="1" indent="1"/>
    </xf>
    <xf numFmtId="0" fontId="3" fillId="0" borderId="0" xfId="0" applyFont="1" applyAlignment="1">
      <alignment horizontal="center"/>
    </xf>
    <xf numFmtId="0" fontId="0" fillId="0" borderId="7" xfId="0" applyBorder="1" applyAlignment="1">
      <alignment horizontal="left" vertical="center" indent="1"/>
    </xf>
    <xf numFmtId="0" fontId="0" fillId="0" borderId="9" xfId="0" applyBorder="1" applyAlignment="1">
      <alignment horizontal="left" vertical="center" indent="1"/>
    </xf>
    <xf numFmtId="0" fontId="3" fillId="0" borderId="0" xfId="0" applyFont="1" applyAlignment="1">
      <alignment horizontal="center" wrapText="1"/>
    </xf>
    <xf numFmtId="0" fontId="2" fillId="0" borderId="0" xfId="0" applyFont="1" applyAlignment="1">
      <alignment horizontal="center" wrapText="1"/>
    </xf>
    <xf numFmtId="0" fontId="5" fillId="9" borderId="0" xfId="0" applyFont="1" applyFill="1" applyAlignment="1">
      <alignment horizontal="left" vertical="top" wrapText="1"/>
    </xf>
    <xf numFmtId="49" fontId="0" fillId="14" borderId="7" xfId="0" applyNumberFormat="1" applyFill="1" applyBorder="1" applyAlignment="1" applyProtection="1">
      <alignment horizontal="left"/>
      <protection locked="0"/>
    </xf>
    <xf numFmtId="49" fontId="0" fillId="14" borderId="9" xfId="0" applyNumberFormat="1" applyFill="1" applyBorder="1" applyAlignment="1" applyProtection="1">
      <alignment horizontal="left"/>
      <protection locked="0"/>
    </xf>
    <xf numFmtId="0" fontId="12" fillId="15" borderId="0" xfId="0" applyFont="1" applyFill="1" applyAlignment="1">
      <alignment vertical="top" wrapText="1"/>
    </xf>
    <xf numFmtId="0" fontId="13" fillId="11" borderId="7" xfId="0" applyFont="1" applyFill="1" applyBorder="1" applyAlignment="1">
      <alignment horizontal="center" vertical="center"/>
    </xf>
    <xf numFmtId="0" fontId="13" fillId="11" borderId="5" xfId="0" applyFont="1" applyFill="1" applyBorder="1" applyAlignment="1">
      <alignment horizontal="center" vertical="center"/>
    </xf>
    <xf numFmtId="0" fontId="13" fillId="11" borderId="9" xfId="0" applyFont="1" applyFill="1" applyBorder="1" applyAlignment="1">
      <alignment horizontal="center" vertical="center"/>
    </xf>
    <xf numFmtId="14" fontId="0" fillId="14" borderId="7" xfId="0" applyNumberFormat="1" applyFill="1" applyBorder="1" applyAlignment="1" applyProtection="1">
      <alignment horizontal="left"/>
      <protection locked="0"/>
    </xf>
    <xf numFmtId="14" fontId="0" fillId="14" borderId="9" xfId="0" applyNumberFormat="1" applyFill="1" applyBorder="1" applyAlignment="1" applyProtection="1">
      <alignment horizontal="left"/>
      <protection locked="0"/>
    </xf>
    <xf numFmtId="1" fontId="0" fillId="14" borderId="7" xfId="0" applyNumberFormat="1" applyFill="1" applyBorder="1" applyAlignment="1" applyProtection="1">
      <alignment horizontal="left"/>
      <protection locked="0"/>
    </xf>
    <xf numFmtId="1" fontId="0" fillId="14" borderId="9" xfId="0" applyNumberFormat="1" applyFill="1" applyBorder="1" applyAlignment="1" applyProtection="1">
      <alignment horizontal="left"/>
      <protection locked="0"/>
    </xf>
    <xf numFmtId="0" fontId="0" fillId="12" borderId="10" xfId="0" applyFill="1" applyBorder="1" applyAlignment="1">
      <alignment vertical="top"/>
    </xf>
    <xf numFmtId="0" fontId="10" fillId="11" borderId="10" xfId="0" applyFont="1" applyFill="1" applyBorder="1" applyAlignment="1">
      <alignment horizontal="center" vertical="center"/>
    </xf>
    <xf numFmtId="0" fontId="2" fillId="0" borderId="0" xfId="0" applyFont="1" applyAlignment="1">
      <alignment horizontal="center"/>
    </xf>
    <xf numFmtId="0" fontId="0" fillId="0" borderId="0" xfId="0" applyAlignment="1">
      <alignment horizontal="center"/>
    </xf>
    <xf numFmtId="0" fontId="12" fillId="0" borderId="0" xfId="0" applyFont="1" applyAlignment="1">
      <alignment vertical="top" wrapText="1"/>
    </xf>
  </cellXfs>
  <cellStyles count="2">
    <cellStyle name="Ongeldig" xfId="1" builtinId="27"/>
    <cellStyle name="Standaard" xfId="0" builtinId="0"/>
  </cellStyles>
  <dxfs count="32">
    <dxf>
      <font>
        <color rgb="FFFFFFFF"/>
      </font>
      <fill>
        <patternFill>
          <bgColor indexed="9"/>
        </patternFill>
      </fill>
    </dxf>
    <dxf>
      <font>
        <color rgb="FF757171"/>
      </font>
    </dxf>
    <dxf>
      <fill>
        <patternFill>
          <bgColor rgb="FFFFC7CE"/>
        </patternFill>
      </fill>
    </dxf>
    <dxf>
      <fill>
        <patternFill>
          <bgColor rgb="FFFFC7CE"/>
        </patternFill>
      </fill>
    </dxf>
    <dxf>
      <fill>
        <patternFill>
          <bgColor rgb="FFFFC7CE"/>
        </patternFill>
      </fill>
    </dxf>
    <dxf>
      <fill>
        <patternFill>
          <bgColor rgb="FFFFC7CE"/>
        </patternFill>
      </fill>
    </dxf>
    <dxf>
      <font>
        <color rgb="FFFFFFFF"/>
      </font>
      <fill>
        <patternFill>
          <bgColor indexed="9"/>
        </patternFill>
      </fill>
    </dxf>
    <dxf>
      <font>
        <color rgb="FF757171"/>
      </font>
    </dxf>
    <dxf>
      <fill>
        <patternFill>
          <bgColor rgb="FFFFC7CE"/>
        </patternFill>
      </fill>
    </dxf>
    <dxf>
      <fill>
        <patternFill>
          <bgColor rgb="FFFFC7CE"/>
        </patternFill>
      </fill>
    </dxf>
    <dxf>
      <fill>
        <patternFill>
          <bgColor rgb="FFFFC7CE"/>
        </patternFill>
      </fill>
    </dxf>
    <dxf>
      <font>
        <color rgb="FFFFFFFF"/>
      </font>
      <fill>
        <patternFill>
          <bgColor indexed="9"/>
        </patternFill>
      </fill>
    </dxf>
    <dxf>
      <font>
        <color rgb="FF757171"/>
      </font>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ont>
        <color rgb="FFFFFFFF"/>
      </font>
      <fill>
        <patternFill>
          <bgColor indexed="9"/>
        </patternFill>
      </fill>
    </dxf>
    <dxf>
      <font>
        <color rgb="FF757171"/>
      </font>
    </dxf>
    <dxf>
      <fill>
        <patternFill>
          <bgColor rgb="FFFFC7CE"/>
        </patternFill>
      </fill>
    </dxf>
    <dxf>
      <fill>
        <patternFill>
          <bgColor rgb="FFFFC7CE"/>
        </patternFill>
      </fill>
    </dxf>
    <dxf>
      <fill>
        <patternFill>
          <bgColor rgb="FFFFC7CE"/>
        </patternFill>
      </fill>
    </dxf>
    <dxf>
      <font>
        <color rgb="FFFFFFFF"/>
      </font>
      <fill>
        <patternFill>
          <bgColor indexed="9"/>
        </patternFill>
      </fill>
    </dxf>
    <dxf>
      <font>
        <color rgb="FF757171"/>
      </font>
    </dxf>
    <dxf>
      <fill>
        <patternFill>
          <bgColor rgb="FFFFC7CE"/>
        </patternFill>
      </fill>
    </dxf>
    <dxf>
      <fill>
        <patternFill>
          <bgColor rgb="FFFFC7CE"/>
        </patternFill>
      </fill>
    </dxf>
    <dxf>
      <fill>
        <patternFill>
          <bgColor rgb="FFFFC7CE"/>
        </patternFill>
      </fill>
    </dxf>
    <dxf>
      <fill>
        <patternFill>
          <bgColor rgb="FFFFC7CE"/>
        </patternFill>
      </fill>
    </dxf>
    <dxf>
      <font>
        <b/>
        <i val="0"/>
        <color theme="0"/>
      </font>
      <fill>
        <patternFill>
          <bgColor rgb="FFFF0000"/>
        </patternFill>
      </fill>
    </dxf>
    <dxf>
      <font>
        <color rgb="FF9C0006"/>
      </font>
      <fill>
        <patternFill>
          <bgColor rgb="FFFFC7CE"/>
        </patternFill>
      </fill>
    </dxf>
  </dxfs>
  <tableStyles count="0" defaultTableStyle="TableStyleMedium2" defaultPivotStyle="PivotStyleLight16"/>
  <colors>
    <mruColors>
      <color rgb="FF57345C"/>
      <color rgb="FFEDEDE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CheckBox" fmlaLink="$D$29"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fmlaLink="'B1-K1-W1'!$I$24" lockText="1" noThreeD="1"/>
</file>

<file path=xl/ctrlProps/ctrlProp5.xml><?xml version="1.0" encoding="utf-8"?>
<formControlPr xmlns="http://schemas.microsoft.com/office/spreadsheetml/2009/9/main" objectType="CheckBox" fmlaLink="'B1-K1-W1'!$J$24" lockText="1" noThreeD="1"/>
</file>

<file path=xl/ctrlProps/ctrlProp6.xml><?xml version="1.0" encoding="utf-8"?>
<formControlPr xmlns="http://schemas.microsoft.com/office/spreadsheetml/2009/9/main" objectType="CheckBox" fmlaLink="'B1-K1-W1'!$K$24" lockText="1" noThreeD="1"/>
</file>

<file path=xl/ctrlProps/ctrlProp7.xml><?xml version="1.0" encoding="utf-8"?>
<formControlPr xmlns="http://schemas.microsoft.com/office/spreadsheetml/2009/9/main" objectType="CheckBox" checked="Checked" fmlaLink="'B1-K1-W1'!$L$24" lockText="1" noThreeD="1"/>
</file>

<file path=xl/ctrlProps/ctrlProp8.xml><?xml version="1.0" encoding="utf-8"?>
<formControlPr xmlns="http://schemas.microsoft.com/office/spreadsheetml/2009/9/main" objectType="CheckBox" fmlaLink="'B1-K1-W1'!$I$25" lockText="1" noThreeD="1"/>
</file>

<file path=xl/ctrlProps/ctrlProp9.xml><?xml version="1.0" encoding="utf-8"?>
<formControlPr xmlns="http://schemas.microsoft.com/office/spreadsheetml/2009/9/main" objectType="CheckBox" fmlaLink="'B1-K1-W1'!$J$25" lockText="1" noThreeD="1"/>
</file>

<file path=xl/ctrlProps/ctrlProp10.xml><?xml version="1.0" encoding="utf-8"?>
<formControlPr xmlns="http://schemas.microsoft.com/office/spreadsheetml/2009/9/main" objectType="CheckBox" checked="Checked" fmlaLink="'B1-K1-W1'!$K$25" lockText="1" noThreeD="1"/>
</file>

<file path=xl/ctrlProps/ctrlProp11.xml><?xml version="1.0" encoding="utf-8"?>
<formControlPr xmlns="http://schemas.microsoft.com/office/spreadsheetml/2009/9/main" objectType="CheckBox" fmlaLink="'B1-K1-W1'!$L$25" lockText="1" noThreeD="1"/>
</file>

<file path=xl/ctrlProps/ctrlProp12.xml><?xml version="1.0" encoding="utf-8"?>
<formControlPr xmlns="http://schemas.microsoft.com/office/spreadsheetml/2009/9/main" objectType="CheckBox" fmlaLink="'B1-K1-W1'!$I$26" lockText="1" noThreeD="1"/>
</file>

<file path=xl/ctrlProps/ctrlProp13.xml><?xml version="1.0" encoding="utf-8"?>
<formControlPr xmlns="http://schemas.microsoft.com/office/spreadsheetml/2009/9/main" objectType="CheckBox" fmlaLink="'B1-K1-W1'!$J$26" lockText="1" noThreeD="1"/>
</file>

<file path=xl/ctrlProps/ctrlProp14.xml><?xml version="1.0" encoding="utf-8"?>
<formControlPr xmlns="http://schemas.microsoft.com/office/spreadsheetml/2009/9/main" objectType="CheckBox" checked="Checked" fmlaLink="'B1-K1-W1'!$K$26" lockText="1" noThreeD="1"/>
</file>

<file path=xl/ctrlProps/ctrlProp15.xml><?xml version="1.0" encoding="utf-8"?>
<formControlPr xmlns="http://schemas.microsoft.com/office/spreadsheetml/2009/9/main" objectType="CheckBox" fmlaLink="'B1-K1-W1'!$L$26" lockText="1" noThreeD="1"/>
</file>

<file path=xl/ctrlProps/ctrlProp16.xml><?xml version="1.0" encoding="utf-8"?>
<formControlPr xmlns="http://schemas.microsoft.com/office/spreadsheetml/2009/9/main" objectType="CheckBox" fmlaLink="'B1-K1-W1'!$I$27" lockText="1" noThreeD="1"/>
</file>

<file path=xl/ctrlProps/ctrlProp17.xml><?xml version="1.0" encoding="utf-8"?>
<formControlPr xmlns="http://schemas.microsoft.com/office/spreadsheetml/2009/9/main" objectType="CheckBox" fmlaLink="'B1-K1-W1'!$J$27" lockText="1" noThreeD="1"/>
</file>

<file path=xl/ctrlProps/ctrlProp18.xml><?xml version="1.0" encoding="utf-8"?>
<formControlPr xmlns="http://schemas.microsoft.com/office/spreadsheetml/2009/9/main" objectType="CheckBox" fmlaLink="'B1-K1-W1'!$K$27" lockText="1" noThreeD="1"/>
</file>

<file path=xl/ctrlProps/ctrlProp19.xml><?xml version="1.0" encoding="utf-8"?>
<formControlPr xmlns="http://schemas.microsoft.com/office/spreadsheetml/2009/9/main" objectType="CheckBox" checked="Checked" fmlaLink="'B1-K1-W1'!$L$27"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fmlaLink="'B1-K1-W2'!$I$24" lockText="1" noThreeD="1"/>
</file>

<file path=xl/ctrlProps/ctrlProp23.xml><?xml version="1.0" encoding="utf-8"?>
<formControlPr xmlns="http://schemas.microsoft.com/office/spreadsheetml/2009/9/main" objectType="CheckBox" fmlaLink="'B1-K1-W2'!$J$24" lockText="1" noThreeD="1"/>
</file>

<file path=xl/ctrlProps/ctrlProp24.xml><?xml version="1.0" encoding="utf-8"?>
<formControlPr xmlns="http://schemas.microsoft.com/office/spreadsheetml/2009/9/main" objectType="CheckBox" fmlaLink="'B1-K1-W2'!$K$24" lockText="1" noThreeD="1"/>
</file>

<file path=xl/ctrlProps/ctrlProp25.xml><?xml version="1.0" encoding="utf-8"?>
<formControlPr xmlns="http://schemas.microsoft.com/office/spreadsheetml/2009/9/main" objectType="CheckBox" checked="Checked" fmlaLink="'B1-K1-W2'!$L$24" lockText="1" noThreeD="1"/>
</file>

<file path=xl/ctrlProps/ctrlProp26.xml><?xml version="1.0" encoding="utf-8"?>
<formControlPr xmlns="http://schemas.microsoft.com/office/spreadsheetml/2009/9/main" objectType="CheckBox" fmlaLink="'B1-K1-W2'!$I$25" lockText="1" noThreeD="1"/>
</file>

<file path=xl/ctrlProps/ctrlProp27.xml><?xml version="1.0" encoding="utf-8"?>
<formControlPr xmlns="http://schemas.microsoft.com/office/spreadsheetml/2009/9/main" objectType="CheckBox" fmlaLink="'B1-K1-W2'!$J$25" lockText="1" noThreeD="1"/>
</file>

<file path=xl/ctrlProps/ctrlProp28.xml><?xml version="1.0" encoding="utf-8"?>
<formControlPr xmlns="http://schemas.microsoft.com/office/spreadsheetml/2009/9/main" objectType="CheckBox" fmlaLink="'B1-K1-W2'!$K$25" lockText="1" noThreeD="1"/>
</file>

<file path=xl/ctrlProps/ctrlProp29.xml><?xml version="1.0" encoding="utf-8"?>
<formControlPr xmlns="http://schemas.microsoft.com/office/spreadsheetml/2009/9/main" objectType="CheckBox" checked="Checked" fmlaLink="'B1-K1-W2'!$L$25" lockText="1" noThreeD="1"/>
</file>

<file path=xl/ctrlProps/ctrlProp30.xml><?xml version="1.0" encoding="utf-8"?>
<formControlPr xmlns="http://schemas.microsoft.com/office/spreadsheetml/2009/9/main" objectType="CheckBox" fmlaLink="'B1-K1-W2'!$I$26" lockText="1" noThreeD="1"/>
</file>

<file path=xl/ctrlProps/ctrlProp31.xml><?xml version="1.0" encoding="utf-8"?>
<formControlPr xmlns="http://schemas.microsoft.com/office/spreadsheetml/2009/9/main" objectType="CheckBox" fmlaLink="'B1-K1-W2'!$J$26" lockText="1" noThreeD="1"/>
</file>

<file path=xl/ctrlProps/ctrlProp32.xml><?xml version="1.0" encoding="utf-8"?>
<formControlPr xmlns="http://schemas.microsoft.com/office/spreadsheetml/2009/9/main" objectType="CheckBox" checked="Checked" fmlaLink="'B1-K1-W2'!$K$26" lockText="1" noThreeD="1"/>
</file>

<file path=xl/ctrlProps/ctrlProp33.xml><?xml version="1.0" encoding="utf-8"?>
<formControlPr xmlns="http://schemas.microsoft.com/office/spreadsheetml/2009/9/main" objectType="CheckBox" fmlaLink="'B1-K1-W2'!$L$26"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fmlaLink="'B1-K1-W3'!$I$24" lockText="1" noThreeD="1"/>
</file>

<file path=xl/ctrlProps/ctrlProp37.xml><?xml version="1.0" encoding="utf-8"?>
<formControlPr xmlns="http://schemas.microsoft.com/office/spreadsheetml/2009/9/main" objectType="CheckBox" checked="Checked" fmlaLink="'B1-K1-W3'!$J$24" lockText="1" noThreeD="1"/>
</file>

<file path=xl/ctrlProps/ctrlProp38.xml><?xml version="1.0" encoding="utf-8"?>
<formControlPr xmlns="http://schemas.microsoft.com/office/spreadsheetml/2009/9/main" objectType="CheckBox" fmlaLink="'B1-K1-W3'!$K$24" lockText="1" noThreeD="1"/>
</file>

<file path=xl/ctrlProps/ctrlProp39.xml><?xml version="1.0" encoding="utf-8"?>
<formControlPr xmlns="http://schemas.microsoft.com/office/spreadsheetml/2009/9/main" objectType="CheckBox" fmlaLink="'B1-K1-W3'!$L$24" lockText="1" noThreeD="1"/>
</file>

<file path=xl/ctrlProps/ctrlProp40.xml><?xml version="1.0" encoding="utf-8"?>
<formControlPr xmlns="http://schemas.microsoft.com/office/spreadsheetml/2009/9/main" objectType="CheckBox" fmlaLink="'B1-K1-W3'!$I$25" lockText="1" noThreeD="1"/>
</file>

<file path=xl/ctrlProps/ctrlProp41.xml><?xml version="1.0" encoding="utf-8"?>
<formControlPr xmlns="http://schemas.microsoft.com/office/spreadsheetml/2009/9/main" objectType="CheckBox" fmlaLink="'B1-K1-W3'!$J$25" lockText="1" noThreeD="1"/>
</file>

<file path=xl/ctrlProps/ctrlProp42.xml><?xml version="1.0" encoding="utf-8"?>
<formControlPr xmlns="http://schemas.microsoft.com/office/spreadsheetml/2009/9/main" objectType="CheckBox" checked="Checked" fmlaLink="'B1-K1-W3'!$K$25" lockText="1" noThreeD="1"/>
</file>

<file path=xl/ctrlProps/ctrlProp43.xml><?xml version="1.0" encoding="utf-8"?>
<formControlPr xmlns="http://schemas.microsoft.com/office/spreadsheetml/2009/9/main" objectType="CheckBox" fmlaLink="'B1-K1-W3'!$L$25" lockText="1" noThreeD="1"/>
</file>

<file path=xl/ctrlProps/ctrlProp44.xml><?xml version="1.0" encoding="utf-8"?>
<formControlPr xmlns="http://schemas.microsoft.com/office/spreadsheetml/2009/9/main" objectType="CheckBox" fmlaLink="'B1-K1-W3'!$I$26" lockText="1" noThreeD="1"/>
</file>

<file path=xl/ctrlProps/ctrlProp45.xml><?xml version="1.0" encoding="utf-8"?>
<formControlPr xmlns="http://schemas.microsoft.com/office/spreadsheetml/2009/9/main" objectType="CheckBox" fmlaLink="'B1-K1-W3'!$J$26" lockText="1" noThreeD="1"/>
</file>

<file path=xl/ctrlProps/ctrlProp46.xml><?xml version="1.0" encoding="utf-8"?>
<formControlPr xmlns="http://schemas.microsoft.com/office/spreadsheetml/2009/9/main" objectType="CheckBox" checked="Checked" fmlaLink="'B1-K1-W3'!$K$26" lockText="1" noThreeD="1"/>
</file>

<file path=xl/ctrlProps/ctrlProp47.xml><?xml version="1.0" encoding="utf-8"?>
<formControlPr xmlns="http://schemas.microsoft.com/office/spreadsheetml/2009/9/main" objectType="CheckBox" fmlaLink="'B1-K1-W3'!$L$26" lockText="1" noThreeD="1"/>
</file>

<file path=xl/ctrlProps/ctrlProp48.xml><?xml version="1.0" encoding="utf-8"?>
<formControlPr xmlns="http://schemas.microsoft.com/office/spreadsheetml/2009/9/main" objectType="CheckBox" fmlaLink="'B1-K1-W3'!$I$27" lockText="1" noThreeD="1"/>
</file>

<file path=xl/ctrlProps/ctrlProp49.xml><?xml version="1.0" encoding="utf-8"?>
<formControlPr xmlns="http://schemas.microsoft.com/office/spreadsheetml/2009/9/main" objectType="CheckBox" checked="Checked" fmlaLink="'B1-K1-W3'!$J$27" lockText="1" noThreeD="1"/>
</file>

<file path=xl/ctrlProps/ctrlProp50.xml><?xml version="1.0" encoding="utf-8"?>
<formControlPr xmlns="http://schemas.microsoft.com/office/spreadsheetml/2009/9/main" objectType="CheckBox" fmlaLink="'B1-K1-W3'!$K$27" lockText="1" noThreeD="1"/>
</file>

<file path=xl/ctrlProps/ctrlProp51.xml><?xml version="1.0" encoding="utf-8"?>
<formControlPr xmlns="http://schemas.microsoft.com/office/spreadsheetml/2009/9/main" objectType="CheckBox" fmlaLink="'B1-K1-W3'!$L$27" lockText="1" noThreeD="1"/>
</file>

<file path=xl/ctrlProps/ctrlProp52.xml><?xml version="1.0" encoding="utf-8"?>
<formControlPr xmlns="http://schemas.microsoft.com/office/spreadsheetml/2009/9/main" objectType="CheckBox" fmlaLink="'B1-K1-W3'!$I$28" lockText="1" noThreeD="1"/>
</file>

<file path=xl/ctrlProps/ctrlProp53.xml><?xml version="1.0" encoding="utf-8"?>
<formControlPr xmlns="http://schemas.microsoft.com/office/spreadsheetml/2009/9/main" objectType="CheckBox" fmlaLink="'B1-K1-W3'!$J$28" lockText="1" noThreeD="1"/>
</file>

<file path=xl/ctrlProps/ctrlProp54.xml><?xml version="1.0" encoding="utf-8"?>
<formControlPr xmlns="http://schemas.microsoft.com/office/spreadsheetml/2009/9/main" objectType="CheckBox" checked="Checked" fmlaLink="'B1-K1-W3'!$K$28" lockText="1" noThreeD="1"/>
</file>

<file path=xl/ctrlProps/ctrlProp55.xml><?xml version="1.0" encoding="utf-8"?>
<formControlPr xmlns="http://schemas.microsoft.com/office/spreadsheetml/2009/9/main" objectType="CheckBox" fmlaLink="'B1-K1-W3'!$L$28" lockText="1" noThreeD="1"/>
</file>

<file path=xl/ctrlProps/ctrlProp56.xml><?xml version="1.0" encoding="utf-8"?>
<formControlPr xmlns="http://schemas.microsoft.com/office/spreadsheetml/2009/9/main" objectType="CheckBox" fmlaLink="'B1-K1-W3'!$I$29" lockText="1" noThreeD="1"/>
</file>

<file path=xl/ctrlProps/ctrlProp57.xml><?xml version="1.0" encoding="utf-8"?>
<formControlPr xmlns="http://schemas.microsoft.com/office/spreadsheetml/2009/9/main" objectType="CheckBox" fmlaLink="'B1-K1-W3'!$J$29" lockText="1" noThreeD="1"/>
</file>

<file path=xl/ctrlProps/ctrlProp58.xml><?xml version="1.0" encoding="utf-8"?>
<formControlPr xmlns="http://schemas.microsoft.com/office/spreadsheetml/2009/9/main" objectType="CheckBox" checked="Checked" fmlaLink="'B1-K1-W3'!$K$29" lockText="1" noThreeD="1"/>
</file>

<file path=xl/ctrlProps/ctrlProp59.xml><?xml version="1.0" encoding="utf-8"?>
<formControlPr xmlns="http://schemas.microsoft.com/office/spreadsheetml/2009/9/main" objectType="CheckBox" fmlaLink="'B1-K1-W3'!$L$29" lockText="1" noThreeD="1"/>
</file>

<file path=xl/ctrlProps/ctrlProp60.xml><?xml version="1.0" encoding="utf-8"?>
<formControlPr xmlns="http://schemas.microsoft.com/office/spreadsheetml/2009/9/main" objectType="CheckBox" checked="Checked" fmlaLink="'B1-K1-W3'!$H$35" lockText="1" noThreeD="1"/>
</file>

<file path=xl/ctrlProps/ctrlProp61.xml><?xml version="1.0" encoding="utf-8"?>
<formControlPr xmlns="http://schemas.microsoft.com/office/spreadsheetml/2009/9/main" objectType="CheckBox" fmlaLink="'B1-K1-W3'!$I$35" lockText="1" noThreeD="1"/>
</file>

<file path=xl/ctrlProps/ctrlProp62.xml><?xml version="1.0" encoding="utf-8"?>
<formControlPr xmlns="http://schemas.microsoft.com/office/spreadsheetml/2009/9/main" objectType="CheckBox" checked="Checked" fmlaLink="'B1-K1-W3'!$H$36" lockText="1" noThreeD="1"/>
</file>

<file path=xl/ctrlProps/ctrlProp63.xml><?xml version="1.0" encoding="utf-8"?>
<formControlPr xmlns="http://schemas.microsoft.com/office/spreadsheetml/2009/9/main" objectType="CheckBox" fmlaLink="'B1-K1-W3'!$I$36" lockText="1" noThreeD="1"/>
</file>

<file path=xl/ctrlProps/ctrlProp64.xml><?xml version="1.0" encoding="utf-8"?>
<formControlPr xmlns="http://schemas.microsoft.com/office/spreadsheetml/2009/9/main" objectType="CheckBox" checked="Checked" fmlaLink="'B1-K1-W3'!$H$40" lockText="1" noThreeD="1"/>
</file>

<file path=xl/ctrlProps/ctrlProp65.xml><?xml version="1.0" encoding="utf-8"?>
<formControlPr xmlns="http://schemas.microsoft.com/office/spreadsheetml/2009/9/main" objectType="CheckBox" fmlaLink="'B1-K1-W3'!$H$41"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checked="Checked" fmlaLink="'B1-K1-W4'!$I$24" lockText="1" noThreeD="1"/>
</file>

<file path=xl/ctrlProps/ctrlProp69.xml><?xml version="1.0" encoding="utf-8"?>
<formControlPr xmlns="http://schemas.microsoft.com/office/spreadsheetml/2009/9/main" objectType="CheckBox" fmlaLink="'B1-K1-W4'!$J$24" lockText="1" noThreeD="1"/>
</file>

<file path=xl/ctrlProps/ctrlProp70.xml><?xml version="1.0" encoding="utf-8"?>
<formControlPr xmlns="http://schemas.microsoft.com/office/spreadsheetml/2009/9/main" objectType="CheckBox" fmlaLink="'B1-K1-W4'!$K$24" lockText="1" noThreeD="1"/>
</file>

<file path=xl/ctrlProps/ctrlProp71.xml><?xml version="1.0" encoding="utf-8"?>
<formControlPr xmlns="http://schemas.microsoft.com/office/spreadsheetml/2009/9/main" objectType="CheckBox" fmlaLink="'B1-K1-W4'!$L$24" lockText="1" noThreeD="1"/>
</file>

<file path=xl/ctrlProps/ctrlProp72.xml><?xml version="1.0" encoding="utf-8"?>
<formControlPr xmlns="http://schemas.microsoft.com/office/spreadsheetml/2009/9/main" objectType="CheckBox" checked="Checked" fmlaLink="'B1-K1-W4'!$I$25" lockText="1" noThreeD="1"/>
</file>

<file path=xl/ctrlProps/ctrlProp73.xml><?xml version="1.0" encoding="utf-8"?>
<formControlPr xmlns="http://schemas.microsoft.com/office/spreadsheetml/2009/9/main" objectType="CheckBox" fmlaLink="'B1-K1-W4'!$J$25" lockText="1" noThreeD="1"/>
</file>

<file path=xl/ctrlProps/ctrlProp74.xml><?xml version="1.0" encoding="utf-8"?>
<formControlPr xmlns="http://schemas.microsoft.com/office/spreadsheetml/2009/9/main" objectType="CheckBox" fmlaLink="'B1-K1-W4'!$K$25" lockText="1" noThreeD="1"/>
</file>

<file path=xl/ctrlProps/ctrlProp75.xml><?xml version="1.0" encoding="utf-8"?>
<formControlPr xmlns="http://schemas.microsoft.com/office/spreadsheetml/2009/9/main" objectType="CheckBox" fmlaLink="'B1-K1-W4'!$L$25" lockText="1" noThreeD="1"/>
</file>

<file path=xl/ctrlProps/ctrlProp76.xml><?xml version="1.0" encoding="utf-8"?>
<formControlPr xmlns="http://schemas.microsoft.com/office/spreadsheetml/2009/9/main" objectType="CheckBox" checked="Checked" fmlaLink="'B1-K1-W4'!$I$26" lockText="1" noThreeD="1"/>
</file>

<file path=xl/ctrlProps/ctrlProp77.xml><?xml version="1.0" encoding="utf-8"?>
<formControlPr xmlns="http://schemas.microsoft.com/office/spreadsheetml/2009/9/main" objectType="CheckBox" fmlaLink="'B1-K1-W4'!$J$26" lockText="1" noThreeD="1"/>
</file>

<file path=xl/ctrlProps/ctrlProp78.xml><?xml version="1.0" encoding="utf-8"?>
<formControlPr xmlns="http://schemas.microsoft.com/office/spreadsheetml/2009/9/main" objectType="CheckBox" fmlaLink="'B1-K1-W4'!$K$26" lockText="1" noThreeD="1"/>
</file>

<file path=xl/ctrlProps/ctrlProp79.xml><?xml version="1.0" encoding="utf-8"?>
<formControlPr xmlns="http://schemas.microsoft.com/office/spreadsheetml/2009/9/main" objectType="CheckBox" fmlaLink="'B1-K1-W4'!$L$26" lockText="1" noThreeD="1"/>
</file>

<file path=xl/ctrlProps/ctrlProp80.xml><?xml version="1.0" encoding="utf-8"?>
<formControlPr xmlns="http://schemas.microsoft.com/office/spreadsheetml/2009/9/main" objectType="CheckBox" checked="Checked"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checked="Checked" fmlaLink="'B1-K1-W5'!$I$24" lockText="1" noThreeD="1"/>
</file>

<file path=xl/ctrlProps/ctrlProp83.xml><?xml version="1.0" encoding="utf-8"?>
<formControlPr xmlns="http://schemas.microsoft.com/office/spreadsheetml/2009/9/main" objectType="CheckBox" fmlaLink="'B1-K1-W5'!$J$24" lockText="1" noThreeD="1"/>
</file>

<file path=xl/ctrlProps/ctrlProp84.xml><?xml version="1.0" encoding="utf-8"?>
<formControlPr xmlns="http://schemas.microsoft.com/office/spreadsheetml/2009/9/main" objectType="CheckBox" fmlaLink="'B1-K1-W5'!$K$24" lockText="1" noThreeD="1"/>
</file>

<file path=xl/ctrlProps/ctrlProp85.xml><?xml version="1.0" encoding="utf-8"?>
<formControlPr xmlns="http://schemas.microsoft.com/office/spreadsheetml/2009/9/main" objectType="CheckBox" fmlaLink="'B1-K1-W5'!$L$24" lockText="1" noThreeD="1"/>
</file>

<file path=xl/ctrlProps/ctrlProp86.xml><?xml version="1.0" encoding="utf-8"?>
<formControlPr xmlns="http://schemas.microsoft.com/office/spreadsheetml/2009/9/main" objectType="CheckBox" fmlaLink="'B1-K1-W5'!$I$25" lockText="1" noThreeD="1"/>
</file>

<file path=xl/ctrlProps/ctrlProp87.xml><?xml version="1.0" encoding="utf-8"?>
<formControlPr xmlns="http://schemas.microsoft.com/office/spreadsheetml/2009/9/main" objectType="CheckBox" fmlaLink="'B1-K1-W5'!$J$25" lockText="1" noThreeD="1"/>
</file>

<file path=xl/ctrlProps/ctrlProp88.xml><?xml version="1.0" encoding="utf-8"?>
<formControlPr xmlns="http://schemas.microsoft.com/office/spreadsheetml/2009/9/main" objectType="CheckBox" checked="Checked" fmlaLink="'B1-K1-W5'!$K$25" lockText="1" noThreeD="1"/>
</file>

<file path=xl/ctrlProps/ctrlProp89.xml><?xml version="1.0" encoding="utf-8"?>
<formControlPr xmlns="http://schemas.microsoft.com/office/spreadsheetml/2009/9/main" objectType="CheckBox" fmlaLink="'B1-K1-W5'!$L$25" lockText="1" noThreeD="1"/>
</file>

<file path=xl/ctrlProps/ctrlProp90.xml><?xml version="1.0" encoding="utf-8"?>
<formControlPr xmlns="http://schemas.microsoft.com/office/spreadsheetml/2009/9/main" objectType="CheckBox" fmlaLink="'B1-K1-W5'!$I$26" lockText="1" noThreeD="1"/>
</file>

<file path=xl/ctrlProps/ctrlProp91.xml><?xml version="1.0" encoding="utf-8"?>
<formControlPr xmlns="http://schemas.microsoft.com/office/spreadsheetml/2009/9/main" objectType="CheckBox" fmlaLink="'B1-K1-W5'!$J$26" lockText="1" noThreeD="1"/>
</file>

<file path=xl/ctrlProps/ctrlProp92.xml><?xml version="1.0" encoding="utf-8"?>
<formControlPr xmlns="http://schemas.microsoft.com/office/spreadsheetml/2009/9/main" objectType="CheckBox" checked="Checked" fmlaLink="'B1-K1-W5'!$K$26" lockText="1" noThreeD="1"/>
</file>

<file path=xl/ctrlProps/ctrlProp93.xml><?xml version="1.0" encoding="utf-8"?>
<formControlPr xmlns="http://schemas.microsoft.com/office/spreadsheetml/2009/9/main" objectType="CheckBox" fmlaLink="'B1-K1-W5'!$L$26" lockText="1" noThreeD="1"/>
</file>

<file path=xl/ctrlProps/ctrlProp94.xml><?xml version="1.0" encoding="utf-8"?>
<formControlPr xmlns="http://schemas.microsoft.com/office/spreadsheetml/2009/9/main" objectType="CheckBox" fmlaLink="'B1-K1-W5'!$I$31" lockText="1" noThreeD="1"/>
</file>

<file path=xl/ctrlProps/ctrlProp95.xml><?xml version="1.0" encoding="utf-8"?>
<formControlPr xmlns="http://schemas.microsoft.com/office/spreadsheetml/2009/9/main" objectType="CheckBox" checked="Checked" fmlaLink="'B1-K1-W5'!$J$31"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152400</xdr:colOff>
          <xdr:row>28</xdr:row>
          <xdr:rowOff>0</xdr:rowOff>
        </xdr:from>
        <xdr:to>
          <xdr:col>1</xdr:col>
          <xdr:colOff>1074420</xdr:colOff>
          <xdr:row>29</xdr:row>
          <xdr:rowOff>22860</xdr:rowOff>
        </xdr:to>
        <xdr:sp macro="" textlink="">
          <xdr:nvSpPr>
            <xdr:cNvPr id="9217" name="Check Box 1" hidden="1">
              <a:extLst>
                <a:ext uri="{63B3BB69-23CF-44E3-9099-C40C66FF867C}">
                  <a14:compatExt spid="_x0000_s9217"/>
                </a:ext>
                <a:ext uri="{FF2B5EF4-FFF2-40B4-BE49-F238E27FC236}">
                  <a16:creationId xmlns:a16="http://schemas.microsoft.com/office/drawing/2014/main" id="{00000000-0008-0000-0300-000001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7</xdr:col>
      <xdr:colOff>0</xdr:colOff>
      <xdr:row>3</xdr:row>
      <xdr:rowOff>0</xdr:rowOff>
    </xdr:from>
    <xdr:to>
      <xdr:col>16</xdr:col>
      <xdr:colOff>85725</xdr:colOff>
      <xdr:row>27</xdr:row>
      <xdr:rowOff>0</xdr:rowOff>
    </xdr:to>
    <xdr:sp macro="" textlink="">
      <xdr:nvSpPr>
        <xdr:cNvPr id="2" name="Tekstvak 1">
          <a:extLst>
            <a:ext uri="{FF2B5EF4-FFF2-40B4-BE49-F238E27FC236}">
              <a16:creationId xmlns:a16="http://schemas.microsoft.com/office/drawing/2014/main" id="{00000000-0008-0000-0300-000002000000}"/>
            </a:ext>
          </a:extLst>
        </xdr:cNvPr>
        <xdr:cNvSpPr txBox="1"/>
      </xdr:nvSpPr>
      <xdr:spPr>
        <a:xfrm>
          <a:off x="8505825" y="657225"/>
          <a:ext cx="5572125" cy="4572000"/>
        </a:xfrm>
        <a:prstGeom prst="rect">
          <a:avLst/>
        </a:prstGeom>
        <a:solidFill>
          <a:schemeClr val="accent3">
            <a:lumMod val="20000"/>
            <a:lumOff val="80000"/>
          </a:schemeClr>
        </a:solidFill>
        <a:ln w="12700"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nl-NL" sz="1400" b="1">
              <a:solidFill>
                <a:schemeClr val="tx1">
                  <a:lumMod val="50000"/>
                  <a:lumOff val="50000"/>
                </a:schemeClr>
              </a:solidFill>
            </a:rPr>
            <a:t>INSTRUCTIES</a:t>
          </a:r>
          <a:r>
            <a:rPr lang="nl-NL" sz="1400" b="1" baseline="0">
              <a:solidFill>
                <a:schemeClr val="tx1">
                  <a:lumMod val="50000"/>
                  <a:lumOff val="50000"/>
                </a:schemeClr>
              </a:solidFill>
            </a:rPr>
            <a:t> VOOR INVULLEN</a:t>
          </a:r>
          <a:br>
            <a:rPr lang="nl-NL" sz="1400" b="1" baseline="0">
              <a:solidFill>
                <a:schemeClr val="tx1">
                  <a:lumMod val="50000"/>
                  <a:lumOff val="50000"/>
                </a:schemeClr>
              </a:solidFill>
            </a:rPr>
          </a:br>
          <a:br>
            <a:rPr lang="nl-NL" sz="1400" b="1" baseline="0">
              <a:solidFill>
                <a:schemeClr val="tx1">
                  <a:lumMod val="50000"/>
                  <a:lumOff val="50000"/>
                </a:schemeClr>
              </a:solidFill>
            </a:rPr>
          </a:br>
          <a:r>
            <a:rPr lang="nl-NL" sz="1400" b="1" baseline="0">
              <a:solidFill>
                <a:schemeClr val="tx1">
                  <a:lumMod val="50000"/>
                  <a:lumOff val="50000"/>
                </a:schemeClr>
              </a:solidFill>
            </a:rPr>
            <a:t>Regeleindes</a:t>
          </a:r>
          <a:br>
            <a:rPr lang="nl-NL" sz="1400" b="1" baseline="0">
              <a:solidFill>
                <a:schemeClr val="tx1">
                  <a:lumMod val="50000"/>
                  <a:lumOff val="50000"/>
                </a:schemeClr>
              </a:solidFill>
            </a:rPr>
          </a:br>
          <a:r>
            <a:rPr lang="nl-NL" sz="1400" b="0" baseline="0">
              <a:solidFill>
                <a:schemeClr val="tx1">
                  <a:lumMod val="50000"/>
                  <a:lumOff val="50000"/>
                </a:schemeClr>
              </a:solidFill>
            </a:rPr>
            <a:t>Het afbreken van de regel van de kerntaaknaam, werkprocesnaam, profielnaam en crebocodes kan bepaald worden door een enter te plaatsen (via ALT+ENTER in de cel).</a:t>
          </a:r>
          <a:br>
            <a:rPr lang="nl-NL" sz="1400" b="0" baseline="0">
              <a:solidFill>
                <a:schemeClr val="tx1">
                  <a:lumMod val="50000"/>
                  <a:lumOff val="50000"/>
                </a:schemeClr>
              </a:solidFill>
            </a:rPr>
          </a:br>
          <a:br>
            <a:rPr lang="nl-NL" sz="1400" b="0" baseline="0">
              <a:solidFill>
                <a:schemeClr val="tx1">
                  <a:lumMod val="50000"/>
                  <a:lumOff val="50000"/>
                </a:schemeClr>
              </a:solidFill>
            </a:rPr>
          </a:br>
          <a:endParaRPr lang="nl-NL" sz="1400" b="1" baseline="0">
            <a:solidFill>
              <a:schemeClr val="tx1">
                <a:lumMod val="50000"/>
                <a:lumOff val="50000"/>
              </a:schemeClr>
            </a:solidFill>
          </a:endParaRPr>
        </a:p>
        <a:p>
          <a:endParaRPr lang="nl-NL" sz="1400" b="1" baseline="0">
            <a:solidFill>
              <a:schemeClr val="tx1">
                <a:lumMod val="50000"/>
                <a:lumOff val="50000"/>
              </a:schemeClr>
            </a:solidFill>
          </a:endParaRPr>
        </a:p>
        <a:p>
          <a:endParaRPr lang="nl-NL" sz="1400" b="0">
            <a:solidFill>
              <a:schemeClr val="tx1">
                <a:lumMod val="50000"/>
                <a:lumOff val="50000"/>
              </a:schemeClr>
            </a:solidFill>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60960</xdr:colOff>
          <xdr:row>0</xdr:row>
          <xdr:rowOff>60960</xdr:rowOff>
        </xdr:from>
        <xdr:to>
          <xdr:col>6</xdr:col>
          <xdr:colOff>1562100</xdr:colOff>
          <xdr:row>0</xdr:row>
          <xdr:rowOff>335280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400-000003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nl-NL" sz="1100" b="0" i="0" u="none" strike="noStrike" baseline="0">
                  <a:solidFill>
                    <a:srgbClr val="000000"/>
                  </a:solidFill>
                  <a:latin typeface="Calibri"/>
                  <a:ea typeface="Calibri"/>
                  <a:cs typeface="Calibri"/>
                </a:rPr>
                <a:t>Genereren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68580</xdr:colOff>
          <xdr:row>0</xdr:row>
          <xdr:rowOff>60960</xdr:rowOff>
        </xdr:from>
        <xdr:to>
          <xdr:col>7</xdr:col>
          <xdr:colOff>1569720</xdr:colOff>
          <xdr:row>0</xdr:row>
          <xdr:rowOff>335280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400-000004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nl-NL" sz="1100" b="0" i="0" u="none" strike="noStrike" baseline="0">
                  <a:solidFill>
                    <a:srgbClr val="000000"/>
                  </a:solidFill>
                  <a:latin typeface="Calibri"/>
                  <a:ea typeface="Calibri"/>
                  <a:cs typeface="Calibri"/>
                </a:rPr>
                <a:t>Publiceren</a:t>
              </a:r>
            </a:p>
            <a:p>
              <a:pPr algn="ctr" rtl="0">
                <a:defRPr sz="1000"/>
              </a:pPr>
              <a:endParaRPr lang="nl-NL" sz="1100" b="0" i="0" u="none" strike="noStrike" baseline="0">
                <a:solidFill>
                  <a:srgbClr val="000000"/>
                </a:solidFill>
                <a:latin typeface="Calibri"/>
                <a:ea typeface="Calibri"/>
                <a:cs typeface="Calibri"/>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23</xdr:row>
          <xdr:rowOff>213360</xdr:rowOff>
        </xdr:to>
        <xdr:sp macro="" textlink="">
          <xdr:nvSpPr>
            <xdr:cNvPr id="54274" name="Check Box 2" hidden="1">
              <a:extLst>
                <a:ext uri="{63B3BB69-23CF-44E3-9099-C40C66FF867C}">
                  <a14:compatExt spid="_x0000_s54274"/>
                </a:ext>
                <a:ext uri="{FF2B5EF4-FFF2-40B4-BE49-F238E27FC236}">
                  <a16:creationId xmlns:a16="http://schemas.microsoft.com/office/drawing/2014/main" id="{00000000-0008-0000-0600-000002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5</xdr:col>
          <xdr:colOff>0</xdr:colOff>
          <xdr:row>23</xdr:row>
          <xdr:rowOff>213360</xdr:rowOff>
        </xdr:to>
        <xdr:sp macro="" textlink="">
          <xdr:nvSpPr>
            <xdr:cNvPr id="54275" name="Check Box 3" hidden="1">
              <a:extLst>
                <a:ext uri="{63B3BB69-23CF-44E3-9099-C40C66FF867C}">
                  <a14:compatExt spid="_x0000_s54275"/>
                </a:ext>
                <a:ext uri="{FF2B5EF4-FFF2-40B4-BE49-F238E27FC236}">
                  <a16:creationId xmlns:a16="http://schemas.microsoft.com/office/drawing/2014/main" id="{00000000-0008-0000-0600-000003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23</xdr:row>
          <xdr:rowOff>0</xdr:rowOff>
        </xdr:from>
        <xdr:to>
          <xdr:col>6</xdr:col>
          <xdr:colOff>0</xdr:colOff>
          <xdr:row>23</xdr:row>
          <xdr:rowOff>213360</xdr:rowOff>
        </xdr:to>
        <xdr:sp macro="" textlink="">
          <xdr:nvSpPr>
            <xdr:cNvPr id="54276" name="Check Box 4" hidden="1">
              <a:extLst>
                <a:ext uri="{63B3BB69-23CF-44E3-9099-C40C66FF867C}">
                  <a14:compatExt spid="_x0000_s54276"/>
                </a:ext>
                <a:ext uri="{FF2B5EF4-FFF2-40B4-BE49-F238E27FC236}">
                  <a16:creationId xmlns:a16="http://schemas.microsoft.com/office/drawing/2014/main" id="{00000000-0008-0000-0600-000004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23</xdr:row>
          <xdr:rowOff>0</xdr:rowOff>
        </xdr:from>
        <xdr:to>
          <xdr:col>7</xdr:col>
          <xdr:colOff>0</xdr:colOff>
          <xdr:row>23</xdr:row>
          <xdr:rowOff>213360</xdr:rowOff>
        </xdr:to>
        <xdr:sp macro="" textlink="">
          <xdr:nvSpPr>
            <xdr:cNvPr id="54277" name="Check Box 5" hidden="1">
              <a:extLst>
                <a:ext uri="{63B3BB69-23CF-44E3-9099-C40C66FF867C}">
                  <a14:compatExt spid="_x0000_s54277"/>
                </a:ext>
                <a:ext uri="{FF2B5EF4-FFF2-40B4-BE49-F238E27FC236}">
                  <a16:creationId xmlns:a16="http://schemas.microsoft.com/office/drawing/2014/main" id="{00000000-0008-0000-0600-000005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4</xdr:col>
          <xdr:colOff>0</xdr:colOff>
          <xdr:row>24</xdr:row>
          <xdr:rowOff>213360</xdr:rowOff>
        </xdr:to>
        <xdr:sp macro="" textlink="">
          <xdr:nvSpPr>
            <xdr:cNvPr id="54278" name="Check Box 6" hidden="1">
              <a:extLst>
                <a:ext uri="{63B3BB69-23CF-44E3-9099-C40C66FF867C}">
                  <a14:compatExt spid="_x0000_s54278"/>
                </a:ext>
                <a:ext uri="{FF2B5EF4-FFF2-40B4-BE49-F238E27FC236}">
                  <a16:creationId xmlns:a16="http://schemas.microsoft.com/office/drawing/2014/main" id="{00000000-0008-0000-0600-000006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xdr:row>
          <xdr:rowOff>0</xdr:rowOff>
        </xdr:from>
        <xdr:to>
          <xdr:col>5</xdr:col>
          <xdr:colOff>0</xdr:colOff>
          <xdr:row>24</xdr:row>
          <xdr:rowOff>213360</xdr:rowOff>
        </xdr:to>
        <xdr:sp macro="" textlink="">
          <xdr:nvSpPr>
            <xdr:cNvPr id="54279" name="Check Box 7" hidden="1">
              <a:extLst>
                <a:ext uri="{63B3BB69-23CF-44E3-9099-C40C66FF867C}">
                  <a14:compatExt spid="_x0000_s54279"/>
                </a:ext>
                <a:ext uri="{FF2B5EF4-FFF2-40B4-BE49-F238E27FC236}">
                  <a16:creationId xmlns:a16="http://schemas.microsoft.com/office/drawing/2014/main" id="{00000000-0008-0000-0600-000007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24</xdr:row>
          <xdr:rowOff>0</xdr:rowOff>
        </xdr:from>
        <xdr:to>
          <xdr:col>6</xdr:col>
          <xdr:colOff>0</xdr:colOff>
          <xdr:row>24</xdr:row>
          <xdr:rowOff>213360</xdr:rowOff>
        </xdr:to>
        <xdr:sp macro="" textlink="">
          <xdr:nvSpPr>
            <xdr:cNvPr id="54280" name="Check Box 8" hidden="1">
              <a:extLst>
                <a:ext uri="{63B3BB69-23CF-44E3-9099-C40C66FF867C}">
                  <a14:compatExt spid="_x0000_s54280"/>
                </a:ext>
                <a:ext uri="{FF2B5EF4-FFF2-40B4-BE49-F238E27FC236}">
                  <a16:creationId xmlns:a16="http://schemas.microsoft.com/office/drawing/2014/main" id="{00000000-0008-0000-0600-000008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24</xdr:row>
          <xdr:rowOff>0</xdr:rowOff>
        </xdr:from>
        <xdr:to>
          <xdr:col>7</xdr:col>
          <xdr:colOff>0</xdr:colOff>
          <xdr:row>24</xdr:row>
          <xdr:rowOff>213360</xdr:rowOff>
        </xdr:to>
        <xdr:sp macro="" textlink="">
          <xdr:nvSpPr>
            <xdr:cNvPr id="54281" name="Check Box 9" hidden="1">
              <a:extLst>
                <a:ext uri="{63B3BB69-23CF-44E3-9099-C40C66FF867C}">
                  <a14:compatExt spid="_x0000_s54281"/>
                </a:ext>
                <a:ext uri="{FF2B5EF4-FFF2-40B4-BE49-F238E27FC236}">
                  <a16:creationId xmlns:a16="http://schemas.microsoft.com/office/drawing/2014/main" id="{00000000-0008-0000-0600-000009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0</xdr:colOff>
          <xdr:row>25</xdr:row>
          <xdr:rowOff>213360</xdr:rowOff>
        </xdr:to>
        <xdr:sp macro="" textlink="">
          <xdr:nvSpPr>
            <xdr:cNvPr id="54282" name="Check Box 10" hidden="1">
              <a:extLst>
                <a:ext uri="{63B3BB69-23CF-44E3-9099-C40C66FF867C}">
                  <a14:compatExt spid="_x0000_s54282"/>
                </a:ext>
                <a:ext uri="{FF2B5EF4-FFF2-40B4-BE49-F238E27FC236}">
                  <a16:creationId xmlns:a16="http://schemas.microsoft.com/office/drawing/2014/main" id="{00000000-0008-0000-0600-00000A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5</xdr:col>
          <xdr:colOff>0</xdr:colOff>
          <xdr:row>25</xdr:row>
          <xdr:rowOff>213360</xdr:rowOff>
        </xdr:to>
        <xdr:sp macro="" textlink="">
          <xdr:nvSpPr>
            <xdr:cNvPr id="54283" name="Check Box 11" hidden="1">
              <a:extLst>
                <a:ext uri="{63B3BB69-23CF-44E3-9099-C40C66FF867C}">
                  <a14:compatExt spid="_x0000_s54283"/>
                </a:ext>
                <a:ext uri="{FF2B5EF4-FFF2-40B4-BE49-F238E27FC236}">
                  <a16:creationId xmlns:a16="http://schemas.microsoft.com/office/drawing/2014/main" id="{00000000-0008-0000-0600-00000B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25</xdr:row>
          <xdr:rowOff>0</xdr:rowOff>
        </xdr:from>
        <xdr:to>
          <xdr:col>6</xdr:col>
          <xdr:colOff>0</xdr:colOff>
          <xdr:row>25</xdr:row>
          <xdr:rowOff>213360</xdr:rowOff>
        </xdr:to>
        <xdr:sp macro="" textlink="">
          <xdr:nvSpPr>
            <xdr:cNvPr id="54284" name="Check Box 12" hidden="1">
              <a:extLst>
                <a:ext uri="{63B3BB69-23CF-44E3-9099-C40C66FF867C}">
                  <a14:compatExt spid="_x0000_s54284"/>
                </a:ext>
                <a:ext uri="{FF2B5EF4-FFF2-40B4-BE49-F238E27FC236}">
                  <a16:creationId xmlns:a16="http://schemas.microsoft.com/office/drawing/2014/main" id="{00000000-0008-0000-0600-00000C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25</xdr:row>
          <xdr:rowOff>0</xdr:rowOff>
        </xdr:from>
        <xdr:to>
          <xdr:col>7</xdr:col>
          <xdr:colOff>0</xdr:colOff>
          <xdr:row>25</xdr:row>
          <xdr:rowOff>213360</xdr:rowOff>
        </xdr:to>
        <xdr:sp macro="" textlink="">
          <xdr:nvSpPr>
            <xdr:cNvPr id="54285" name="Check Box 13" hidden="1">
              <a:extLst>
                <a:ext uri="{63B3BB69-23CF-44E3-9099-C40C66FF867C}">
                  <a14:compatExt spid="_x0000_s54285"/>
                </a:ext>
                <a:ext uri="{FF2B5EF4-FFF2-40B4-BE49-F238E27FC236}">
                  <a16:creationId xmlns:a16="http://schemas.microsoft.com/office/drawing/2014/main" id="{00000000-0008-0000-0600-00000D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26</xdr:row>
          <xdr:rowOff>0</xdr:rowOff>
        </xdr:from>
        <xdr:to>
          <xdr:col>4</xdr:col>
          <xdr:colOff>0</xdr:colOff>
          <xdr:row>26</xdr:row>
          <xdr:rowOff>213360</xdr:rowOff>
        </xdr:to>
        <xdr:sp macro="" textlink="">
          <xdr:nvSpPr>
            <xdr:cNvPr id="54286" name="Check Box 14" hidden="1">
              <a:extLst>
                <a:ext uri="{63B3BB69-23CF-44E3-9099-C40C66FF867C}">
                  <a14:compatExt spid="_x0000_s54286"/>
                </a:ext>
                <a:ext uri="{FF2B5EF4-FFF2-40B4-BE49-F238E27FC236}">
                  <a16:creationId xmlns:a16="http://schemas.microsoft.com/office/drawing/2014/main" id="{00000000-0008-0000-0600-00000E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26</xdr:row>
          <xdr:rowOff>0</xdr:rowOff>
        </xdr:from>
        <xdr:to>
          <xdr:col>5</xdr:col>
          <xdr:colOff>0</xdr:colOff>
          <xdr:row>26</xdr:row>
          <xdr:rowOff>213360</xdr:rowOff>
        </xdr:to>
        <xdr:sp macro="" textlink="">
          <xdr:nvSpPr>
            <xdr:cNvPr id="54287" name="Check Box 15" hidden="1">
              <a:extLst>
                <a:ext uri="{63B3BB69-23CF-44E3-9099-C40C66FF867C}">
                  <a14:compatExt spid="_x0000_s54287"/>
                </a:ext>
                <a:ext uri="{FF2B5EF4-FFF2-40B4-BE49-F238E27FC236}">
                  <a16:creationId xmlns:a16="http://schemas.microsoft.com/office/drawing/2014/main" id="{00000000-0008-0000-0600-00000F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26</xdr:row>
          <xdr:rowOff>0</xdr:rowOff>
        </xdr:from>
        <xdr:to>
          <xdr:col>6</xdr:col>
          <xdr:colOff>0</xdr:colOff>
          <xdr:row>26</xdr:row>
          <xdr:rowOff>213360</xdr:rowOff>
        </xdr:to>
        <xdr:sp macro="" textlink="">
          <xdr:nvSpPr>
            <xdr:cNvPr id="54288" name="Check Box 16" hidden="1">
              <a:extLst>
                <a:ext uri="{63B3BB69-23CF-44E3-9099-C40C66FF867C}">
                  <a14:compatExt spid="_x0000_s54288"/>
                </a:ext>
                <a:ext uri="{FF2B5EF4-FFF2-40B4-BE49-F238E27FC236}">
                  <a16:creationId xmlns:a16="http://schemas.microsoft.com/office/drawing/2014/main" id="{00000000-0008-0000-0600-000010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26</xdr:row>
          <xdr:rowOff>0</xdr:rowOff>
        </xdr:from>
        <xdr:to>
          <xdr:col>7</xdr:col>
          <xdr:colOff>0</xdr:colOff>
          <xdr:row>26</xdr:row>
          <xdr:rowOff>213360</xdr:rowOff>
        </xdr:to>
        <xdr:sp macro="" textlink="">
          <xdr:nvSpPr>
            <xdr:cNvPr id="54289" name="Check Box 17" hidden="1">
              <a:extLst>
                <a:ext uri="{63B3BB69-23CF-44E3-9099-C40C66FF867C}">
                  <a14:compatExt spid="_x0000_s54289"/>
                </a:ext>
                <a:ext uri="{FF2B5EF4-FFF2-40B4-BE49-F238E27FC236}">
                  <a16:creationId xmlns:a16="http://schemas.microsoft.com/office/drawing/2014/main" id="{00000000-0008-0000-0600-000011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54</xdr:row>
          <xdr:rowOff>0</xdr:rowOff>
        </xdr:from>
        <xdr:to>
          <xdr:col>2</xdr:col>
          <xdr:colOff>0</xdr:colOff>
          <xdr:row>55</xdr:row>
          <xdr:rowOff>22860</xdr:rowOff>
        </xdr:to>
        <xdr:sp macro="" textlink="">
          <xdr:nvSpPr>
            <xdr:cNvPr id="54290" name="Check Box 18" hidden="1">
              <a:extLst>
                <a:ext uri="{63B3BB69-23CF-44E3-9099-C40C66FF867C}">
                  <a14:compatExt spid="_x0000_s54290"/>
                </a:ext>
                <a:ext uri="{FF2B5EF4-FFF2-40B4-BE49-F238E27FC236}">
                  <a16:creationId xmlns:a16="http://schemas.microsoft.com/office/drawing/2014/main" id="{00000000-0008-0000-0600-000012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nl-NL" sz="800" b="0" i="0" u="none" strike="noStrike" baseline="0">
                  <a:solidFill>
                    <a:srgbClr val="000000"/>
                  </a:solidFill>
                  <a:latin typeface="Segoe UI"/>
                  <a:cs typeface="Segoe UI"/>
                </a:rPr>
                <a:t>Ja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54</xdr:row>
          <xdr:rowOff>0</xdr:rowOff>
        </xdr:from>
        <xdr:to>
          <xdr:col>3</xdr:col>
          <xdr:colOff>190500</xdr:colOff>
          <xdr:row>55</xdr:row>
          <xdr:rowOff>22860</xdr:rowOff>
        </xdr:to>
        <xdr:sp macro="" textlink="">
          <xdr:nvSpPr>
            <xdr:cNvPr id="54291" name="Check Box 19" hidden="1">
              <a:extLst>
                <a:ext uri="{63B3BB69-23CF-44E3-9099-C40C66FF867C}">
                  <a14:compatExt spid="_x0000_s54291"/>
                </a:ext>
                <a:ext uri="{FF2B5EF4-FFF2-40B4-BE49-F238E27FC236}">
                  <a16:creationId xmlns:a16="http://schemas.microsoft.com/office/drawing/2014/main" id="{00000000-0008-0000-0600-000013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nl-NL" sz="800" b="0" i="0" u="none" strike="noStrike" baseline="0">
                  <a:solidFill>
                    <a:srgbClr val="000000"/>
                  </a:solidFill>
                  <a:latin typeface="Segoe UI"/>
                  <a:cs typeface="Segoe UI"/>
                </a:rPr>
                <a:t>Nee</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23</xdr:row>
          <xdr:rowOff>213360</xdr:rowOff>
        </xdr:to>
        <xdr:sp macro="" textlink="">
          <xdr:nvSpPr>
            <xdr:cNvPr id="55298" name="Check Box 2" hidden="1">
              <a:extLst>
                <a:ext uri="{63B3BB69-23CF-44E3-9099-C40C66FF867C}">
                  <a14:compatExt spid="_x0000_s55298"/>
                </a:ext>
                <a:ext uri="{FF2B5EF4-FFF2-40B4-BE49-F238E27FC236}">
                  <a16:creationId xmlns:a16="http://schemas.microsoft.com/office/drawing/2014/main" id="{00000000-0008-0000-0700-000002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5</xdr:col>
          <xdr:colOff>0</xdr:colOff>
          <xdr:row>23</xdr:row>
          <xdr:rowOff>213360</xdr:rowOff>
        </xdr:to>
        <xdr:sp macro="" textlink="">
          <xdr:nvSpPr>
            <xdr:cNvPr id="55299" name="Check Box 3" hidden="1">
              <a:extLst>
                <a:ext uri="{63B3BB69-23CF-44E3-9099-C40C66FF867C}">
                  <a14:compatExt spid="_x0000_s55299"/>
                </a:ext>
                <a:ext uri="{FF2B5EF4-FFF2-40B4-BE49-F238E27FC236}">
                  <a16:creationId xmlns:a16="http://schemas.microsoft.com/office/drawing/2014/main" id="{00000000-0008-0000-0700-000003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23</xdr:row>
          <xdr:rowOff>0</xdr:rowOff>
        </xdr:from>
        <xdr:to>
          <xdr:col>6</xdr:col>
          <xdr:colOff>0</xdr:colOff>
          <xdr:row>23</xdr:row>
          <xdr:rowOff>213360</xdr:rowOff>
        </xdr:to>
        <xdr:sp macro="" textlink="">
          <xdr:nvSpPr>
            <xdr:cNvPr id="55300" name="Check Box 4" hidden="1">
              <a:extLst>
                <a:ext uri="{63B3BB69-23CF-44E3-9099-C40C66FF867C}">
                  <a14:compatExt spid="_x0000_s55300"/>
                </a:ext>
                <a:ext uri="{FF2B5EF4-FFF2-40B4-BE49-F238E27FC236}">
                  <a16:creationId xmlns:a16="http://schemas.microsoft.com/office/drawing/2014/main" id="{00000000-0008-0000-0700-000004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23</xdr:row>
          <xdr:rowOff>0</xdr:rowOff>
        </xdr:from>
        <xdr:to>
          <xdr:col>7</xdr:col>
          <xdr:colOff>0</xdr:colOff>
          <xdr:row>23</xdr:row>
          <xdr:rowOff>213360</xdr:rowOff>
        </xdr:to>
        <xdr:sp macro="" textlink="">
          <xdr:nvSpPr>
            <xdr:cNvPr id="55301" name="Check Box 5" hidden="1">
              <a:extLst>
                <a:ext uri="{63B3BB69-23CF-44E3-9099-C40C66FF867C}">
                  <a14:compatExt spid="_x0000_s55301"/>
                </a:ext>
                <a:ext uri="{FF2B5EF4-FFF2-40B4-BE49-F238E27FC236}">
                  <a16:creationId xmlns:a16="http://schemas.microsoft.com/office/drawing/2014/main" id="{00000000-0008-0000-0700-000005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4</xdr:col>
          <xdr:colOff>0</xdr:colOff>
          <xdr:row>24</xdr:row>
          <xdr:rowOff>213360</xdr:rowOff>
        </xdr:to>
        <xdr:sp macro="" textlink="">
          <xdr:nvSpPr>
            <xdr:cNvPr id="55302" name="Check Box 6" hidden="1">
              <a:extLst>
                <a:ext uri="{63B3BB69-23CF-44E3-9099-C40C66FF867C}">
                  <a14:compatExt spid="_x0000_s55302"/>
                </a:ext>
                <a:ext uri="{FF2B5EF4-FFF2-40B4-BE49-F238E27FC236}">
                  <a16:creationId xmlns:a16="http://schemas.microsoft.com/office/drawing/2014/main" id="{00000000-0008-0000-0700-000006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xdr:row>
          <xdr:rowOff>0</xdr:rowOff>
        </xdr:from>
        <xdr:to>
          <xdr:col>5</xdr:col>
          <xdr:colOff>0</xdr:colOff>
          <xdr:row>24</xdr:row>
          <xdr:rowOff>213360</xdr:rowOff>
        </xdr:to>
        <xdr:sp macro="" textlink="">
          <xdr:nvSpPr>
            <xdr:cNvPr id="55303" name="Check Box 7" hidden="1">
              <a:extLst>
                <a:ext uri="{63B3BB69-23CF-44E3-9099-C40C66FF867C}">
                  <a14:compatExt spid="_x0000_s55303"/>
                </a:ext>
                <a:ext uri="{FF2B5EF4-FFF2-40B4-BE49-F238E27FC236}">
                  <a16:creationId xmlns:a16="http://schemas.microsoft.com/office/drawing/2014/main" id="{00000000-0008-0000-0700-000007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24</xdr:row>
          <xdr:rowOff>0</xdr:rowOff>
        </xdr:from>
        <xdr:to>
          <xdr:col>6</xdr:col>
          <xdr:colOff>0</xdr:colOff>
          <xdr:row>24</xdr:row>
          <xdr:rowOff>213360</xdr:rowOff>
        </xdr:to>
        <xdr:sp macro="" textlink="">
          <xdr:nvSpPr>
            <xdr:cNvPr id="55304" name="Check Box 8" hidden="1">
              <a:extLst>
                <a:ext uri="{63B3BB69-23CF-44E3-9099-C40C66FF867C}">
                  <a14:compatExt spid="_x0000_s55304"/>
                </a:ext>
                <a:ext uri="{FF2B5EF4-FFF2-40B4-BE49-F238E27FC236}">
                  <a16:creationId xmlns:a16="http://schemas.microsoft.com/office/drawing/2014/main" id="{00000000-0008-0000-0700-000008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24</xdr:row>
          <xdr:rowOff>0</xdr:rowOff>
        </xdr:from>
        <xdr:to>
          <xdr:col>7</xdr:col>
          <xdr:colOff>0</xdr:colOff>
          <xdr:row>24</xdr:row>
          <xdr:rowOff>213360</xdr:rowOff>
        </xdr:to>
        <xdr:sp macro="" textlink="">
          <xdr:nvSpPr>
            <xdr:cNvPr id="55305" name="Check Box 9" hidden="1">
              <a:extLst>
                <a:ext uri="{63B3BB69-23CF-44E3-9099-C40C66FF867C}">
                  <a14:compatExt spid="_x0000_s55305"/>
                </a:ext>
                <a:ext uri="{FF2B5EF4-FFF2-40B4-BE49-F238E27FC236}">
                  <a16:creationId xmlns:a16="http://schemas.microsoft.com/office/drawing/2014/main" id="{00000000-0008-0000-0700-000009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0</xdr:colOff>
          <xdr:row>25</xdr:row>
          <xdr:rowOff>213360</xdr:rowOff>
        </xdr:to>
        <xdr:sp macro="" textlink="">
          <xdr:nvSpPr>
            <xdr:cNvPr id="55306" name="Check Box 10" hidden="1">
              <a:extLst>
                <a:ext uri="{63B3BB69-23CF-44E3-9099-C40C66FF867C}">
                  <a14:compatExt spid="_x0000_s55306"/>
                </a:ext>
                <a:ext uri="{FF2B5EF4-FFF2-40B4-BE49-F238E27FC236}">
                  <a16:creationId xmlns:a16="http://schemas.microsoft.com/office/drawing/2014/main" id="{00000000-0008-0000-0700-00000A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5</xdr:col>
          <xdr:colOff>0</xdr:colOff>
          <xdr:row>25</xdr:row>
          <xdr:rowOff>213360</xdr:rowOff>
        </xdr:to>
        <xdr:sp macro="" textlink="">
          <xdr:nvSpPr>
            <xdr:cNvPr id="55307" name="Check Box 11" hidden="1">
              <a:extLst>
                <a:ext uri="{63B3BB69-23CF-44E3-9099-C40C66FF867C}">
                  <a14:compatExt spid="_x0000_s55307"/>
                </a:ext>
                <a:ext uri="{FF2B5EF4-FFF2-40B4-BE49-F238E27FC236}">
                  <a16:creationId xmlns:a16="http://schemas.microsoft.com/office/drawing/2014/main" id="{00000000-0008-0000-0700-00000B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25</xdr:row>
          <xdr:rowOff>0</xdr:rowOff>
        </xdr:from>
        <xdr:to>
          <xdr:col>6</xdr:col>
          <xdr:colOff>0</xdr:colOff>
          <xdr:row>25</xdr:row>
          <xdr:rowOff>213360</xdr:rowOff>
        </xdr:to>
        <xdr:sp macro="" textlink="">
          <xdr:nvSpPr>
            <xdr:cNvPr id="55308" name="Check Box 12" hidden="1">
              <a:extLst>
                <a:ext uri="{63B3BB69-23CF-44E3-9099-C40C66FF867C}">
                  <a14:compatExt spid="_x0000_s55308"/>
                </a:ext>
                <a:ext uri="{FF2B5EF4-FFF2-40B4-BE49-F238E27FC236}">
                  <a16:creationId xmlns:a16="http://schemas.microsoft.com/office/drawing/2014/main" id="{00000000-0008-0000-0700-00000C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25</xdr:row>
          <xdr:rowOff>0</xdr:rowOff>
        </xdr:from>
        <xdr:to>
          <xdr:col>7</xdr:col>
          <xdr:colOff>0</xdr:colOff>
          <xdr:row>25</xdr:row>
          <xdr:rowOff>213360</xdr:rowOff>
        </xdr:to>
        <xdr:sp macro="" textlink="">
          <xdr:nvSpPr>
            <xdr:cNvPr id="55309" name="Check Box 13" hidden="1">
              <a:extLst>
                <a:ext uri="{63B3BB69-23CF-44E3-9099-C40C66FF867C}">
                  <a14:compatExt spid="_x0000_s55309"/>
                </a:ext>
                <a:ext uri="{FF2B5EF4-FFF2-40B4-BE49-F238E27FC236}">
                  <a16:creationId xmlns:a16="http://schemas.microsoft.com/office/drawing/2014/main" id="{00000000-0008-0000-0700-00000D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55</xdr:row>
          <xdr:rowOff>0</xdr:rowOff>
        </xdr:from>
        <xdr:to>
          <xdr:col>2</xdr:col>
          <xdr:colOff>0</xdr:colOff>
          <xdr:row>56</xdr:row>
          <xdr:rowOff>22860</xdr:rowOff>
        </xdr:to>
        <xdr:sp macro="" textlink="">
          <xdr:nvSpPr>
            <xdr:cNvPr id="55310" name="Check Box 14" hidden="1">
              <a:extLst>
                <a:ext uri="{63B3BB69-23CF-44E3-9099-C40C66FF867C}">
                  <a14:compatExt spid="_x0000_s55310"/>
                </a:ext>
                <a:ext uri="{FF2B5EF4-FFF2-40B4-BE49-F238E27FC236}">
                  <a16:creationId xmlns:a16="http://schemas.microsoft.com/office/drawing/2014/main" id="{00000000-0008-0000-0700-00000E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nl-NL" sz="800" b="0" i="0" u="none" strike="noStrike" baseline="0">
                  <a:solidFill>
                    <a:srgbClr val="000000"/>
                  </a:solidFill>
                  <a:latin typeface="Segoe UI"/>
                  <a:cs typeface="Segoe UI"/>
                </a:rPr>
                <a:t>Ja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55</xdr:row>
          <xdr:rowOff>0</xdr:rowOff>
        </xdr:from>
        <xdr:to>
          <xdr:col>3</xdr:col>
          <xdr:colOff>190500</xdr:colOff>
          <xdr:row>56</xdr:row>
          <xdr:rowOff>22860</xdr:rowOff>
        </xdr:to>
        <xdr:sp macro="" textlink="">
          <xdr:nvSpPr>
            <xdr:cNvPr id="55311" name="Check Box 15" hidden="1">
              <a:extLst>
                <a:ext uri="{63B3BB69-23CF-44E3-9099-C40C66FF867C}">
                  <a14:compatExt spid="_x0000_s55311"/>
                </a:ext>
                <a:ext uri="{FF2B5EF4-FFF2-40B4-BE49-F238E27FC236}">
                  <a16:creationId xmlns:a16="http://schemas.microsoft.com/office/drawing/2014/main" id="{00000000-0008-0000-0700-00000F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nl-NL" sz="800" b="0" i="0" u="none" strike="noStrike" baseline="0">
                  <a:solidFill>
                    <a:srgbClr val="000000"/>
                  </a:solidFill>
                  <a:latin typeface="Segoe UI"/>
                  <a:cs typeface="Segoe UI"/>
                </a:rPr>
                <a:t>Nee</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23</xdr:row>
          <xdr:rowOff>213360</xdr:rowOff>
        </xdr:to>
        <xdr:sp macro="" textlink="">
          <xdr:nvSpPr>
            <xdr:cNvPr id="56322" name="Check Box 2" hidden="1">
              <a:extLst>
                <a:ext uri="{63B3BB69-23CF-44E3-9099-C40C66FF867C}">
                  <a14:compatExt spid="_x0000_s56322"/>
                </a:ext>
                <a:ext uri="{FF2B5EF4-FFF2-40B4-BE49-F238E27FC236}">
                  <a16:creationId xmlns:a16="http://schemas.microsoft.com/office/drawing/2014/main" id="{00000000-0008-0000-0800-000002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5</xdr:col>
          <xdr:colOff>0</xdr:colOff>
          <xdr:row>23</xdr:row>
          <xdr:rowOff>213360</xdr:rowOff>
        </xdr:to>
        <xdr:sp macro="" textlink="">
          <xdr:nvSpPr>
            <xdr:cNvPr id="56323" name="Check Box 3" hidden="1">
              <a:extLst>
                <a:ext uri="{63B3BB69-23CF-44E3-9099-C40C66FF867C}">
                  <a14:compatExt spid="_x0000_s56323"/>
                </a:ext>
                <a:ext uri="{FF2B5EF4-FFF2-40B4-BE49-F238E27FC236}">
                  <a16:creationId xmlns:a16="http://schemas.microsoft.com/office/drawing/2014/main" id="{00000000-0008-0000-0800-000003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23</xdr:row>
          <xdr:rowOff>0</xdr:rowOff>
        </xdr:from>
        <xdr:to>
          <xdr:col>6</xdr:col>
          <xdr:colOff>0</xdr:colOff>
          <xdr:row>23</xdr:row>
          <xdr:rowOff>213360</xdr:rowOff>
        </xdr:to>
        <xdr:sp macro="" textlink="">
          <xdr:nvSpPr>
            <xdr:cNvPr id="56324" name="Check Box 4" hidden="1">
              <a:extLst>
                <a:ext uri="{63B3BB69-23CF-44E3-9099-C40C66FF867C}">
                  <a14:compatExt spid="_x0000_s56324"/>
                </a:ext>
                <a:ext uri="{FF2B5EF4-FFF2-40B4-BE49-F238E27FC236}">
                  <a16:creationId xmlns:a16="http://schemas.microsoft.com/office/drawing/2014/main" id="{00000000-0008-0000-0800-000004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23</xdr:row>
          <xdr:rowOff>0</xdr:rowOff>
        </xdr:from>
        <xdr:to>
          <xdr:col>7</xdr:col>
          <xdr:colOff>0</xdr:colOff>
          <xdr:row>23</xdr:row>
          <xdr:rowOff>213360</xdr:rowOff>
        </xdr:to>
        <xdr:sp macro="" textlink="">
          <xdr:nvSpPr>
            <xdr:cNvPr id="56325" name="Check Box 5" hidden="1">
              <a:extLst>
                <a:ext uri="{63B3BB69-23CF-44E3-9099-C40C66FF867C}">
                  <a14:compatExt spid="_x0000_s56325"/>
                </a:ext>
                <a:ext uri="{FF2B5EF4-FFF2-40B4-BE49-F238E27FC236}">
                  <a16:creationId xmlns:a16="http://schemas.microsoft.com/office/drawing/2014/main" id="{00000000-0008-0000-0800-000005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4</xdr:col>
          <xdr:colOff>0</xdr:colOff>
          <xdr:row>24</xdr:row>
          <xdr:rowOff>213360</xdr:rowOff>
        </xdr:to>
        <xdr:sp macro="" textlink="">
          <xdr:nvSpPr>
            <xdr:cNvPr id="56326" name="Check Box 6" hidden="1">
              <a:extLst>
                <a:ext uri="{63B3BB69-23CF-44E3-9099-C40C66FF867C}">
                  <a14:compatExt spid="_x0000_s56326"/>
                </a:ext>
                <a:ext uri="{FF2B5EF4-FFF2-40B4-BE49-F238E27FC236}">
                  <a16:creationId xmlns:a16="http://schemas.microsoft.com/office/drawing/2014/main" id="{00000000-0008-0000-0800-000006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xdr:row>
          <xdr:rowOff>0</xdr:rowOff>
        </xdr:from>
        <xdr:to>
          <xdr:col>5</xdr:col>
          <xdr:colOff>0</xdr:colOff>
          <xdr:row>24</xdr:row>
          <xdr:rowOff>213360</xdr:rowOff>
        </xdr:to>
        <xdr:sp macro="" textlink="">
          <xdr:nvSpPr>
            <xdr:cNvPr id="56327" name="Check Box 7" hidden="1">
              <a:extLst>
                <a:ext uri="{63B3BB69-23CF-44E3-9099-C40C66FF867C}">
                  <a14:compatExt spid="_x0000_s56327"/>
                </a:ext>
                <a:ext uri="{FF2B5EF4-FFF2-40B4-BE49-F238E27FC236}">
                  <a16:creationId xmlns:a16="http://schemas.microsoft.com/office/drawing/2014/main" id="{00000000-0008-0000-0800-000007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24</xdr:row>
          <xdr:rowOff>0</xdr:rowOff>
        </xdr:from>
        <xdr:to>
          <xdr:col>6</xdr:col>
          <xdr:colOff>0</xdr:colOff>
          <xdr:row>24</xdr:row>
          <xdr:rowOff>213360</xdr:rowOff>
        </xdr:to>
        <xdr:sp macro="" textlink="">
          <xdr:nvSpPr>
            <xdr:cNvPr id="56328" name="Check Box 8" hidden="1">
              <a:extLst>
                <a:ext uri="{63B3BB69-23CF-44E3-9099-C40C66FF867C}">
                  <a14:compatExt spid="_x0000_s56328"/>
                </a:ext>
                <a:ext uri="{FF2B5EF4-FFF2-40B4-BE49-F238E27FC236}">
                  <a16:creationId xmlns:a16="http://schemas.microsoft.com/office/drawing/2014/main" id="{00000000-0008-0000-0800-000008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24</xdr:row>
          <xdr:rowOff>0</xdr:rowOff>
        </xdr:from>
        <xdr:to>
          <xdr:col>7</xdr:col>
          <xdr:colOff>0</xdr:colOff>
          <xdr:row>24</xdr:row>
          <xdr:rowOff>213360</xdr:rowOff>
        </xdr:to>
        <xdr:sp macro="" textlink="">
          <xdr:nvSpPr>
            <xdr:cNvPr id="56329" name="Check Box 9" hidden="1">
              <a:extLst>
                <a:ext uri="{63B3BB69-23CF-44E3-9099-C40C66FF867C}">
                  <a14:compatExt spid="_x0000_s56329"/>
                </a:ext>
                <a:ext uri="{FF2B5EF4-FFF2-40B4-BE49-F238E27FC236}">
                  <a16:creationId xmlns:a16="http://schemas.microsoft.com/office/drawing/2014/main" id="{00000000-0008-0000-0800-000009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0</xdr:colOff>
          <xdr:row>25</xdr:row>
          <xdr:rowOff>213360</xdr:rowOff>
        </xdr:to>
        <xdr:sp macro="" textlink="">
          <xdr:nvSpPr>
            <xdr:cNvPr id="56330" name="Check Box 10" hidden="1">
              <a:extLst>
                <a:ext uri="{63B3BB69-23CF-44E3-9099-C40C66FF867C}">
                  <a14:compatExt spid="_x0000_s56330"/>
                </a:ext>
                <a:ext uri="{FF2B5EF4-FFF2-40B4-BE49-F238E27FC236}">
                  <a16:creationId xmlns:a16="http://schemas.microsoft.com/office/drawing/2014/main" id="{00000000-0008-0000-0800-00000A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5</xdr:col>
          <xdr:colOff>0</xdr:colOff>
          <xdr:row>25</xdr:row>
          <xdr:rowOff>213360</xdr:rowOff>
        </xdr:to>
        <xdr:sp macro="" textlink="">
          <xdr:nvSpPr>
            <xdr:cNvPr id="56331" name="Check Box 11" hidden="1">
              <a:extLst>
                <a:ext uri="{63B3BB69-23CF-44E3-9099-C40C66FF867C}">
                  <a14:compatExt spid="_x0000_s56331"/>
                </a:ext>
                <a:ext uri="{FF2B5EF4-FFF2-40B4-BE49-F238E27FC236}">
                  <a16:creationId xmlns:a16="http://schemas.microsoft.com/office/drawing/2014/main" id="{00000000-0008-0000-0800-00000B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25</xdr:row>
          <xdr:rowOff>0</xdr:rowOff>
        </xdr:from>
        <xdr:to>
          <xdr:col>6</xdr:col>
          <xdr:colOff>0</xdr:colOff>
          <xdr:row>25</xdr:row>
          <xdr:rowOff>213360</xdr:rowOff>
        </xdr:to>
        <xdr:sp macro="" textlink="">
          <xdr:nvSpPr>
            <xdr:cNvPr id="56332" name="Check Box 12" hidden="1">
              <a:extLst>
                <a:ext uri="{63B3BB69-23CF-44E3-9099-C40C66FF867C}">
                  <a14:compatExt spid="_x0000_s56332"/>
                </a:ext>
                <a:ext uri="{FF2B5EF4-FFF2-40B4-BE49-F238E27FC236}">
                  <a16:creationId xmlns:a16="http://schemas.microsoft.com/office/drawing/2014/main" id="{00000000-0008-0000-0800-00000C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25</xdr:row>
          <xdr:rowOff>0</xdr:rowOff>
        </xdr:from>
        <xdr:to>
          <xdr:col>7</xdr:col>
          <xdr:colOff>0</xdr:colOff>
          <xdr:row>25</xdr:row>
          <xdr:rowOff>213360</xdr:rowOff>
        </xdr:to>
        <xdr:sp macro="" textlink="">
          <xdr:nvSpPr>
            <xdr:cNvPr id="56333" name="Check Box 13" hidden="1">
              <a:extLst>
                <a:ext uri="{63B3BB69-23CF-44E3-9099-C40C66FF867C}">
                  <a14:compatExt spid="_x0000_s56333"/>
                </a:ext>
                <a:ext uri="{FF2B5EF4-FFF2-40B4-BE49-F238E27FC236}">
                  <a16:creationId xmlns:a16="http://schemas.microsoft.com/office/drawing/2014/main" id="{00000000-0008-0000-0800-00000D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26</xdr:row>
          <xdr:rowOff>0</xdr:rowOff>
        </xdr:from>
        <xdr:to>
          <xdr:col>4</xdr:col>
          <xdr:colOff>0</xdr:colOff>
          <xdr:row>26</xdr:row>
          <xdr:rowOff>213360</xdr:rowOff>
        </xdr:to>
        <xdr:sp macro="" textlink="">
          <xdr:nvSpPr>
            <xdr:cNvPr id="56334" name="Check Box 14" hidden="1">
              <a:extLst>
                <a:ext uri="{63B3BB69-23CF-44E3-9099-C40C66FF867C}">
                  <a14:compatExt spid="_x0000_s56334"/>
                </a:ext>
                <a:ext uri="{FF2B5EF4-FFF2-40B4-BE49-F238E27FC236}">
                  <a16:creationId xmlns:a16="http://schemas.microsoft.com/office/drawing/2014/main" id="{00000000-0008-0000-0800-00000E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26</xdr:row>
          <xdr:rowOff>0</xdr:rowOff>
        </xdr:from>
        <xdr:to>
          <xdr:col>5</xdr:col>
          <xdr:colOff>0</xdr:colOff>
          <xdr:row>26</xdr:row>
          <xdr:rowOff>213360</xdr:rowOff>
        </xdr:to>
        <xdr:sp macro="" textlink="">
          <xdr:nvSpPr>
            <xdr:cNvPr id="56335" name="Check Box 15" hidden="1">
              <a:extLst>
                <a:ext uri="{63B3BB69-23CF-44E3-9099-C40C66FF867C}">
                  <a14:compatExt spid="_x0000_s56335"/>
                </a:ext>
                <a:ext uri="{FF2B5EF4-FFF2-40B4-BE49-F238E27FC236}">
                  <a16:creationId xmlns:a16="http://schemas.microsoft.com/office/drawing/2014/main" id="{00000000-0008-0000-0800-00000F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26</xdr:row>
          <xdr:rowOff>0</xdr:rowOff>
        </xdr:from>
        <xdr:to>
          <xdr:col>6</xdr:col>
          <xdr:colOff>0</xdr:colOff>
          <xdr:row>26</xdr:row>
          <xdr:rowOff>213360</xdr:rowOff>
        </xdr:to>
        <xdr:sp macro="" textlink="">
          <xdr:nvSpPr>
            <xdr:cNvPr id="56336" name="Check Box 16" hidden="1">
              <a:extLst>
                <a:ext uri="{63B3BB69-23CF-44E3-9099-C40C66FF867C}">
                  <a14:compatExt spid="_x0000_s56336"/>
                </a:ext>
                <a:ext uri="{FF2B5EF4-FFF2-40B4-BE49-F238E27FC236}">
                  <a16:creationId xmlns:a16="http://schemas.microsoft.com/office/drawing/2014/main" id="{00000000-0008-0000-0800-000010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26</xdr:row>
          <xdr:rowOff>0</xdr:rowOff>
        </xdr:from>
        <xdr:to>
          <xdr:col>7</xdr:col>
          <xdr:colOff>0</xdr:colOff>
          <xdr:row>26</xdr:row>
          <xdr:rowOff>213360</xdr:rowOff>
        </xdr:to>
        <xdr:sp macro="" textlink="">
          <xdr:nvSpPr>
            <xdr:cNvPr id="56337" name="Check Box 17" hidden="1">
              <a:extLst>
                <a:ext uri="{63B3BB69-23CF-44E3-9099-C40C66FF867C}">
                  <a14:compatExt spid="_x0000_s56337"/>
                </a:ext>
                <a:ext uri="{FF2B5EF4-FFF2-40B4-BE49-F238E27FC236}">
                  <a16:creationId xmlns:a16="http://schemas.microsoft.com/office/drawing/2014/main" id="{00000000-0008-0000-0800-000011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27</xdr:row>
          <xdr:rowOff>0</xdr:rowOff>
        </xdr:from>
        <xdr:to>
          <xdr:col>4</xdr:col>
          <xdr:colOff>0</xdr:colOff>
          <xdr:row>27</xdr:row>
          <xdr:rowOff>213360</xdr:rowOff>
        </xdr:to>
        <xdr:sp macro="" textlink="">
          <xdr:nvSpPr>
            <xdr:cNvPr id="56338" name="Check Box 18" hidden="1">
              <a:extLst>
                <a:ext uri="{63B3BB69-23CF-44E3-9099-C40C66FF867C}">
                  <a14:compatExt spid="_x0000_s56338"/>
                </a:ext>
                <a:ext uri="{FF2B5EF4-FFF2-40B4-BE49-F238E27FC236}">
                  <a16:creationId xmlns:a16="http://schemas.microsoft.com/office/drawing/2014/main" id="{00000000-0008-0000-0800-000012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27</xdr:row>
          <xdr:rowOff>0</xdr:rowOff>
        </xdr:from>
        <xdr:to>
          <xdr:col>5</xdr:col>
          <xdr:colOff>0</xdr:colOff>
          <xdr:row>27</xdr:row>
          <xdr:rowOff>213360</xdr:rowOff>
        </xdr:to>
        <xdr:sp macro="" textlink="">
          <xdr:nvSpPr>
            <xdr:cNvPr id="56339" name="Check Box 19" hidden="1">
              <a:extLst>
                <a:ext uri="{63B3BB69-23CF-44E3-9099-C40C66FF867C}">
                  <a14:compatExt spid="_x0000_s56339"/>
                </a:ext>
                <a:ext uri="{FF2B5EF4-FFF2-40B4-BE49-F238E27FC236}">
                  <a16:creationId xmlns:a16="http://schemas.microsoft.com/office/drawing/2014/main" id="{00000000-0008-0000-0800-000013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27</xdr:row>
          <xdr:rowOff>0</xdr:rowOff>
        </xdr:from>
        <xdr:to>
          <xdr:col>6</xdr:col>
          <xdr:colOff>0</xdr:colOff>
          <xdr:row>27</xdr:row>
          <xdr:rowOff>213360</xdr:rowOff>
        </xdr:to>
        <xdr:sp macro="" textlink="">
          <xdr:nvSpPr>
            <xdr:cNvPr id="56340" name="Check Box 20" hidden="1">
              <a:extLst>
                <a:ext uri="{63B3BB69-23CF-44E3-9099-C40C66FF867C}">
                  <a14:compatExt spid="_x0000_s56340"/>
                </a:ext>
                <a:ext uri="{FF2B5EF4-FFF2-40B4-BE49-F238E27FC236}">
                  <a16:creationId xmlns:a16="http://schemas.microsoft.com/office/drawing/2014/main" id="{00000000-0008-0000-0800-000014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27</xdr:row>
          <xdr:rowOff>0</xdr:rowOff>
        </xdr:from>
        <xdr:to>
          <xdr:col>7</xdr:col>
          <xdr:colOff>0</xdr:colOff>
          <xdr:row>27</xdr:row>
          <xdr:rowOff>213360</xdr:rowOff>
        </xdr:to>
        <xdr:sp macro="" textlink="">
          <xdr:nvSpPr>
            <xdr:cNvPr id="56341" name="Check Box 21" hidden="1">
              <a:extLst>
                <a:ext uri="{63B3BB69-23CF-44E3-9099-C40C66FF867C}">
                  <a14:compatExt spid="_x0000_s56341"/>
                </a:ext>
                <a:ext uri="{FF2B5EF4-FFF2-40B4-BE49-F238E27FC236}">
                  <a16:creationId xmlns:a16="http://schemas.microsoft.com/office/drawing/2014/main" id="{00000000-0008-0000-0800-000015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28</xdr:row>
          <xdr:rowOff>0</xdr:rowOff>
        </xdr:from>
        <xdr:to>
          <xdr:col>4</xdr:col>
          <xdr:colOff>0</xdr:colOff>
          <xdr:row>28</xdr:row>
          <xdr:rowOff>213360</xdr:rowOff>
        </xdr:to>
        <xdr:sp macro="" textlink="">
          <xdr:nvSpPr>
            <xdr:cNvPr id="56342" name="Check Box 22" hidden="1">
              <a:extLst>
                <a:ext uri="{63B3BB69-23CF-44E3-9099-C40C66FF867C}">
                  <a14:compatExt spid="_x0000_s56342"/>
                </a:ext>
                <a:ext uri="{FF2B5EF4-FFF2-40B4-BE49-F238E27FC236}">
                  <a16:creationId xmlns:a16="http://schemas.microsoft.com/office/drawing/2014/main" id="{00000000-0008-0000-0800-000016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28</xdr:row>
          <xdr:rowOff>0</xdr:rowOff>
        </xdr:from>
        <xdr:to>
          <xdr:col>5</xdr:col>
          <xdr:colOff>0</xdr:colOff>
          <xdr:row>28</xdr:row>
          <xdr:rowOff>213360</xdr:rowOff>
        </xdr:to>
        <xdr:sp macro="" textlink="">
          <xdr:nvSpPr>
            <xdr:cNvPr id="56343" name="Check Box 23" hidden="1">
              <a:extLst>
                <a:ext uri="{63B3BB69-23CF-44E3-9099-C40C66FF867C}">
                  <a14:compatExt spid="_x0000_s56343"/>
                </a:ext>
                <a:ext uri="{FF2B5EF4-FFF2-40B4-BE49-F238E27FC236}">
                  <a16:creationId xmlns:a16="http://schemas.microsoft.com/office/drawing/2014/main" id="{00000000-0008-0000-0800-000017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28</xdr:row>
          <xdr:rowOff>0</xdr:rowOff>
        </xdr:from>
        <xdr:to>
          <xdr:col>6</xdr:col>
          <xdr:colOff>0</xdr:colOff>
          <xdr:row>28</xdr:row>
          <xdr:rowOff>213360</xdr:rowOff>
        </xdr:to>
        <xdr:sp macro="" textlink="">
          <xdr:nvSpPr>
            <xdr:cNvPr id="56344" name="Check Box 24" hidden="1">
              <a:extLst>
                <a:ext uri="{63B3BB69-23CF-44E3-9099-C40C66FF867C}">
                  <a14:compatExt spid="_x0000_s56344"/>
                </a:ext>
                <a:ext uri="{FF2B5EF4-FFF2-40B4-BE49-F238E27FC236}">
                  <a16:creationId xmlns:a16="http://schemas.microsoft.com/office/drawing/2014/main" id="{00000000-0008-0000-0800-000018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28</xdr:row>
          <xdr:rowOff>0</xdr:rowOff>
        </xdr:from>
        <xdr:to>
          <xdr:col>7</xdr:col>
          <xdr:colOff>0</xdr:colOff>
          <xdr:row>28</xdr:row>
          <xdr:rowOff>213360</xdr:rowOff>
        </xdr:to>
        <xdr:sp macro="" textlink="">
          <xdr:nvSpPr>
            <xdr:cNvPr id="56345" name="Check Box 25" hidden="1">
              <a:extLst>
                <a:ext uri="{63B3BB69-23CF-44E3-9099-C40C66FF867C}">
                  <a14:compatExt spid="_x0000_s56345"/>
                </a:ext>
                <a:ext uri="{FF2B5EF4-FFF2-40B4-BE49-F238E27FC236}">
                  <a16:creationId xmlns:a16="http://schemas.microsoft.com/office/drawing/2014/main" id="{00000000-0008-0000-0800-000019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34</xdr:row>
          <xdr:rowOff>0</xdr:rowOff>
        </xdr:from>
        <xdr:to>
          <xdr:col>4</xdr:col>
          <xdr:colOff>0</xdr:colOff>
          <xdr:row>35</xdr:row>
          <xdr:rowOff>22860</xdr:rowOff>
        </xdr:to>
        <xdr:sp macro="" textlink="">
          <xdr:nvSpPr>
            <xdr:cNvPr id="56346" name="Check Box 26" hidden="1">
              <a:extLst>
                <a:ext uri="{63B3BB69-23CF-44E3-9099-C40C66FF867C}">
                  <a14:compatExt spid="_x0000_s56346"/>
                </a:ext>
                <a:ext uri="{FF2B5EF4-FFF2-40B4-BE49-F238E27FC236}">
                  <a16:creationId xmlns:a16="http://schemas.microsoft.com/office/drawing/2014/main" id="{00000000-0008-0000-0800-00001A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34</xdr:row>
          <xdr:rowOff>0</xdr:rowOff>
        </xdr:from>
        <xdr:to>
          <xdr:col>5</xdr:col>
          <xdr:colOff>0</xdr:colOff>
          <xdr:row>35</xdr:row>
          <xdr:rowOff>22860</xdr:rowOff>
        </xdr:to>
        <xdr:sp macro="" textlink="">
          <xdr:nvSpPr>
            <xdr:cNvPr id="56347" name="Check Box 27" hidden="1">
              <a:extLst>
                <a:ext uri="{63B3BB69-23CF-44E3-9099-C40C66FF867C}">
                  <a14:compatExt spid="_x0000_s56347"/>
                </a:ext>
                <a:ext uri="{FF2B5EF4-FFF2-40B4-BE49-F238E27FC236}">
                  <a16:creationId xmlns:a16="http://schemas.microsoft.com/office/drawing/2014/main" id="{00000000-0008-0000-0800-00001B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35</xdr:row>
          <xdr:rowOff>0</xdr:rowOff>
        </xdr:from>
        <xdr:to>
          <xdr:col>4</xdr:col>
          <xdr:colOff>0</xdr:colOff>
          <xdr:row>36</xdr:row>
          <xdr:rowOff>22860</xdr:rowOff>
        </xdr:to>
        <xdr:sp macro="" textlink="">
          <xdr:nvSpPr>
            <xdr:cNvPr id="56348" name="Check Box 28" hidden="1">
              <a:extLst>
                <a:ext uri="{63B3BB69-23CF-44E3-9099-C40C66FF867C}">
                  <a14:compatExt spid="_x0000_s56348"/>
                </a:ext>
                <a:ext uri="{FF2B5EF4-FFF2-40B4-BE49-F238E27FC236}">
                  <a16:creationId xmlns:a16="http://schemas.microsoft.com/office/drawing/2014/main" id="{00000000-0008-0000-0800-00001C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35</xdr:row>
          <xdr:rowOff>0</xdr:rowOff>
        </xdr:from>
        <xdr:to>
          <xdr:col>5</xdr:col>
          <xdr:colOff>0</xdr:colOff>
          <xdr:row>36</xdr:row>
          <xdr:rowOff>22860</xdr:rowOff>
        </xdr:to>
        <xdr:sp macro="" textlink="">
          <xdr:nvSpPr>
            <xdr:cNvPr id="56349" name="Check Box 29" hidden="1">
              <a:extLst>
                <a:ext uri="{63B3BB69-23CF-44E3-9099-C40C66FF867C}">
                  <a14:compatExt spid="_x0000_s56349"/>
                </a:ext>
                <a:ext uri="{FF2B5EF4-FFF2-40B4-BE49-F238E27FC236}">
                  <a16:creationId xmlns:a16="http://schemas.microsoft.com/office/drawing/2014/main" id="{00000000-0008-0000-0800-00001D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39</xdr:row>
          <xdr:rowOff>0</xdr:rowOff>
        </xdr:from>
        <xdr:to>
          <xdr:col>2</xdr:col>
          <xdr:colOff>0</xdr:colOff>
          <xdr:row>40</xdr:row>
          <xdr:rowOff>22860</xdr:rowOff>
        </xdr:to>
        <xdr:sp macro="" textlink="">
          <xdr:nvSpPr>
            <xdr:cNvPr id="56350" name="Check Box 30" hidden="1">
              <a:extLst>
                <a:ext uri="{63B3BB69-23CF-44E3-9099-C40C66FF867C}">
                  <a14:compatExt spid="_x0000_s56350"/>
                </a:ext>
                <a:ext uri="{FF2B5EF4-FFF2-40B4-BE49-F238E27FC236}">
                  <a16:creationId xmlns:a16="http://schemas.microsoft.com/office/drawing/2014/main" id="{00000000-0008-0000-0800-00001E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40</xdr:row>
          <xdr:rowOff>0</xdr:rowOff>
        </xdr:from>
        <xdr:to>
          <xdr:col>2</xdr:col>
          <xdr:colOff>0</xdr:colOff>
          <xdr:row>41</xdr:row>
          <xdr:rowOff>22860</xdr:rowOff>
        </xdr:to>
        <xdr:sp macro="" textlink="">
          <xdr:nvSpPr>
            <xdr:cNvPr id="56351" name="Check Box 31" hidden="1">
              <a:extLst>
                <a:ext uri="{63B3BB69-23CF-44E3-9099-C40C66FF867C}">
                  <a14:compatExt spid="_x0000_s56351"/>
                </a:ext>
                <a:ext uri="{FF2B5EF4-FFF2-40B4-BE49-F238E27FC236}">
                  <a16:creationId xmlns:a16="http://schemas.microsoft.com/office/drawing/2014/main" id="{00000000-0008-0000-0800-00001F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73</xdr:row>
          <xdr:rowOff>0</xdr:rowOff>
        </xdr:from>
        <xdr:to>
          <xdr:col>2</xdr:col>
          <xdr:colOff>0</xdr:colOff>
          <xdr:row>74</xdr:row>
          <xdr:rowOff>22860</xdr:rowOff>
        </xdr:to>
        <xdr:sp macro="" textlink="">
          <xdr:nvSpPr>
            <xdr:cNvPr id="56352" name="Check Box 32" hidden="1">
              <a:extLst>
                <a:ext uri="{63B3BB69-23CF-44E3-9099-C40C66FF867C}">
                  <a14:compatExt spid="_x0000_s56352"/>
                </a:ext>
                <a:ext uri="{FF2B5EF4-FFF2-40B4-BE49-F238E27FC236}">
                  <a16:creationId xmlns:a16="http://schemas.microsoft.com/office/drawing/2014/main" id="{00000000-0008-0000-0800-000020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nl-NL" sz="800" b="0" i="0" u="none" strike="noStrike" baseline="0">
                  <a:solidFill>
                    <a:srgbClr val="000000"/>
                  </a:solidFill>
                  <a:latin typeface="Segoe UI"/>
                  <a:cs typeface="Segoe UI"/>
                </a:rPr>
                <a:t>Ja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73</xdr:row>
          <xdr:rowOff>0</xdr:rowOff>
        </xdr:from>
        <xdr:to>
          <xdr:col>3</xdr:col>
          <xdr:colOff>190500</xdr:colOff>
          <xdr:row>74</xdr:row>
          <xdr:rowOff>22860</xdr:rowOff>
        </xdr:to>
        <xdr:sp macro="" textlink="">
          <xdr:nvSpPr>
            <xdr:cNvPr id="56353" name="Check Box 33" hidden="1">
              <a:extLst>
                <a:ext uri="{63B3BB69-23CF-44E3-9099-C40C66FF867C}">
                  <a14:compatExt spid="_x0000_s56353"/>
                </a:ext>
                <a:ext uri="{FF2B5EF4-FFF2-40B4-BE49-F238E27FC236}">
                  <a16:creationId xmlns:a16="http://schemas.microsoft.com/office/drawing/2014/main" id="{00000000-0008-0000-0800-000021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nl-NL" sz="800" b="0" i="0" u="none" strike="noStrike" baseline="0">
                  <a:solidFill>
                    <a:srgbClr val="000000"/>
                  </a:solidFill>
                  <a:latin typeface="Segoe UI"/>
                  <a:cs typeface="Segoe UI"/>
                </a:rPr>
                <a:t>Nee</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23</xdr:row>
          <xdr:rowOff>213360</xdr:rowOff>
        </xdr:to>
        <xdr:sp macro="" textlink="">
          <xdr:nvSpPr>
            <xdr:cNvPr id="57346" name="Check Box 2" hidden="1">
              <a:extLst>
                <a:ext uri="{63B3BB69-23CF-44E3-9099-C40C66FF867C}">
                  <a14:compatExt spid="_x0000_s57346"/>
                </a:ext>
                <a:ext uri="{FF2B5EF4-FFF2-40B4-BE49-F238E27FC236}">
                  <a16:creationId xmlns:a16="http://schemas.microsoft.com/office/drawing/2014/main" id="{00000000-0008-0000-0900-000002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5</xdr:col>
          <xdr:colOff>0</xdr:colOff>
          <xdr:row>23</xdr:row>
          <xdr:rowOff>213360</xdr:rowOff>
        </xdr:to>
        <xdr:sp macro="" textlink="">
          <xdr:nvSpPr>
            <xdr:cNvPr id="57347" name="Check Box 3" hidden="1">
              <a:extLst>
                <a:ext uri="{63B3BB69-23CF-44E3-9099-C40C66FF867C}">
                  <a14:compatExt spid="_x0000_s57347"/>
                </a:ext>
                <a:ext uri="{FF2B5EF4-FFF2-40B4-BE49-F238E27FC236}">
                  <a16:creationId xmlns:a16="http://schemas.microsoft.com/office/drawing/2014/main" id="{00000000-0008-0000-0900-000003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23</xdr:row>
          <xdr:rowOff>0</xdr:rowOff>
        </xdr:from>
        <xdr:to>
          <xdr:col>6</xdr:col>
          <xdr:colOff>0</xdr:colOff>
          <xdr:row>23</xdr:row>
          <xdr:rowOff>213360</xdr:rowOff>
        </xdr:to>
        <xdr:sp macro="" textlink="">
          <xdr:nvSpPr>
            <xdr:cNvPr id="57348" name="Check Box 4" hidden="1">
              <a:extLst>
                <a:ext uri="{63B3BB69-23CF-44E3-9099-C40C66FF867C}">
                  <a14:compatExt spid="_x0000_s57348"/>
                </a:ext>
                <a:ext uri="{FF2B5EF4-FFF2-40B4-BE49-F238E27FC236}">
                  <a16:creationId xmlns:a16="http://schemas.microsoft.com/office/drawing/2014/main" id="{00000000-0008-0000-0900-000004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23</xdr:row>
          <xdr:rowOff>0</xdr:rowOff>
        </xdr:from>
        <xdr:to>
          <xdr:col>7</xdr:col>
          <xdr:colOff>0</xdr:colOff>
          <xdr:row>23</xdr:row>
          <xdr:rowOff>213360</xdr:rowOff>
        </xdr:to>
        <xdr:sp macro="" textlink="">
          <xdr:nvSpPr>
            <xdr:cNvPr id="57349" name="Check Box 5" hidden="1">
              <a:extLst>
                <a:ext uri="{63B3BB69-23CF-44E3-9099-C40C66FF867C}">
                  <a14:compatExt spid="_x0000_s57349"/>
                </a:ext>
                <a:ext uri="{FF2B5EF4-FFF2-40B4-BE49-F238E27FC236}">
                  <a16:creationId xmlns:a16="http://schemas.microsoft.com/office/drawing/2014/main" id="{00000000-0008-0000-0900-000005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4</xdr:col>
          <xdr:colOff>0</xdr:colOff>
          <xdr:row>24</xdr:row>
          <xdr:rowOff>213360</xdr:rowOff>
        </xdr:to>
        <xdr:sp macro="" textlink="">
          <xdr:nvSpPr>
            <xdr:cNvPr id="57350" name="Check Box 6" hidden="1">
              <a:extLst>
                <a:ext uri="{63B3BB69-23CF-44E3-9099-C40C66FF867C}">
                  <a14:compatExt spid="_x0000_s57350"/>
                </a:ext>
                <a:ext uri="{FF2B5EF4-FFF2-40B4-BE49-F238E27FC236}">
                  <a16:creationId xmlns:a16="http://schemas.microsoft.com/office/drawing/2014/main" id="{00000000-0008-0000-0900-000006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xdr:row>
          <xdr:rowOff>0</xdr:rowOff>
        </xdr:from>
        <xdr:to>
          <xdr:col>5</xdr:col>
          <xdr:colOff>0</xdr:colOff>
          <xdr:row>24</xdr:row>
          <xdr:rowOff>213360</xdr:rowOff>
        </xdr:to>
        <xdr:sp macro="" textlink="">
          <xdr:nvSpPr>
            <xdr:cNvPr id="57351" name="Check Box 7" hidden="1">
              <a:extLst>
                <a:ext uri="{63B3BB69-23CF-44E3-9099-C40C66FF867C}">
                  <a14:compatExt spid="_x0000_s57351"/>
                </a:ext>
                <a:ext uri="{FF2B5EF4-FFF2-40B4-BE49-F238E27FC236}">
                  <a16:creationId xmlns:a16="http://schemas.microsoft.com/office/drawing/2014/main" id="{00000000-0008-0000-0900-000007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24</xdr:row>
          <xdr:rowOff>0</xdr:rowOff>
        </xdr:from>
        <xdr:to>
          <xdr:col>6</xdr:col>
          <xdr:colOff>0</xdr:colOff>
          <xdr:row>24</xdr:row>
          <xdr:rowOff>213360</xdr:rowOff>
        </xdr:to>
        <xdr:sp macro="" textlink="">
          <xdr:nvSpPr>
            <xdr:cNvPr id="57352" name="Check Box 8" hidden="1">
              <a:extLst>
                <a:ext uri="{63B3BB69-23CF-44E3-9099-C40C66FF867C}">
                  <a14:compatExt spid="_x0000_s57352"/>
                </a:ext>
                <a:ext uri="{FF2B5EF4-FFF2-40B4-BE49-F238E27FC236}">
                  <a16:creationId xmlns:a16="http://schemas.microsoft.com/office/drawing/2014/main" id="{00000000-0008-0000-0900-000008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24</xdr:row>
          <xdr:rowOff>0</xdr:rowOff>
        </xdr:from>
        <xdr:to>
          <xdr:col>7</xdr:col>
          <xdr:colOff>0</xdr:colOff>
          <xdr:row>24</xdr:row>
          <xdr:rowOff>213360</xdr:rowOff>
        </xdr:to>
        <xdr:sp macro="" textlink="">
          <xdr:nvSpPr>
            <xdr:cNvPr id="57353" name="Check Box 9" hidden="1">
              <a:extLst>
                <a:ext uri="{63B3BB69-23CF-44E3-9099-C40C66FF867C}">
                  <a14:compatExt spid="_x0000_s57353"/>
                </a:ext>
                <a:ext uri="{FF2B5EF4-FFF2-40B4-BE49-F238E27FC236}">
                  <a16:creationId xmlns:a16="http://schemas.microsoft.com/office/drawing/2014/main" id="{00000000-0008-0000-0900-000009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0</xdr:colOff>
          <xdr:row>25</xdr:row>
          <xdr:rowOff>213360</xdr:rowOff>
        </xdr:to>
        <xdr:sp macro="" textlink="">
          <xdr:nvSpPr>
            <xdr:cNvPr id="57354" name="Check Box 10" hidden="1">
              <a:extLst>
                <a:ext uri="{63B3BB69-23CF-44E3-9099-C40C66FF867C}">
                  <a14:compatExt spid="_x0000_s57354"/>
                </a:ext>
                <a:ext uri="{FF2B5EF4-FFF2-40B4-BE49-F238E27FC236}">
                  <a16:creationId xmlns:a16="http://schemas.microsoft.com/office/drawing/2014/main" id="{00000000-0008-0000-0900-00000A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5</xdr:col>
          <xdr:colOff>0</xdr:colOff>
          <xdr:row>25</xdr:row>
          <xdr:rowOff>213360</xdr:rowOff>
        </xdr:to>
        <xdr:sp macro="" textlink="">
          <xdr:nvSpPr>
            <xdr:cNvPr id="57355" name="Check Box 11" hidden="1">
              <a:extLst>
                <a:ext uri="{63B3BB69-23CF-44E3-9099-C40C66FF867C}">
                  <a14:compatExt spid="_x0000_s57355"/>
                </a:ext>
                <a:ext uri="{FF2B5EF4-FFF2-40B4-BE49-F238E27FC236}">
                  <a16:creationId xmlns:a16="http://schemas.microsoft.com/office/drawing/2014/main" id="{00000000-0008-0000-0900-00000B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25</xdr:row>
          <xdr:rowOff>0</xdr:rowOff>
        </xdr:from>
        <xdr:to>
          <xdr:col>6</xdr:col>
          <xdr:colOff>0</xdr:colOff>
          <xdr:row>25</xdr:row>
          <xdr:rowOff>213360</xdr:rowOff>
        </xdr:to>
        <xdr:sp macro="" textlink="">
          <xdr:nvSpPr>
            <xdr:cNvPr id="57356" name="Check Box 12" hidden="1">
              <a:extLst>
                <a:ext uri="{63B3BB69-23CF-44E3-9099-C40C66FF867C}">
                  <a14:compatExt spid="_x0000_s57356"/>
                </a:ext>
                <a:ext uri="{FF2B5EF4-FFF2-40B4-BE49-F238E27FC236}">
                  <a16:creationId xmlns:a16="http://schemas.microsoft.com/office/drawing/2014/main" id="{00000000-0008-0000-0900-00000C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25</xdr:row>
          <xdr:rowOff>0</xdr:rowOff>
        </xdr:from>
        <xdr:to>
          <xdr:col>7</xdr:col>
          <xdr:colOff>0</xdr:colOff>
          <xdr:row>25</xdr:row>
          <xdr:rowOff>213360</xdr:rowOff>
        </xdr:to>
        <xdr:sp macro="" textlink="">
          <xdr:nvSpPr>
            <xdr:cNvPr id="57357" name="Check Box 13" hidden="1">
              <a:extLst>
                <a:ext uri="{63B3BB69-23CF-44E3-9099-C40C66FF867C}">
                  <a14:compatExt spid="_x0000_s57357"/>
                </a:ext>
                <a:ext uri="{FF2B5EF4-FFF2-40B4-BE49-F238E27FC236}">
                  <a16:creationId xmlns:a16="http://schemas.microsoft.com/office/drawing/2014/main" id="{00000000-0008-0000-0900-00000D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0</xdr:rowOff>
        </xdr:from>
        <xdr:to>
          <xdr:col>2</xdr:col>
          <xdr:colOff>0</xdr:colOff>
          <xdr:row>51</xdr:row>
          <xdr:rowOff>22860</xdr:rowOff>
        </xdr:to>
        <xdr:sp macro="" textlink="">
          <xdr:nvSpPr>
            <xdr:cNvPr id="57358" name="Check Box 14" hidden="1">
              <a:extLst>
                <a:ext uri="{63B3BB69-23CF-44E3-9099-C40C66FF867C}">
                  <a14:compatExt spid="_x0000_s57358"/>
                </a:ext>
                <a:ext uri="{FF2B5EF4-FFF2-40B4-BE49-F238E27FC236}">
                  <a16:creationId xmlns:a16="http://schemas.microsoft.com/office/drawing/2014/main" id="{00000000-0008-0000-0900-00000E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nl-NL" sz="800" b="0" i="0" u="none" strike="noStrike" baseline="0">
                  <a:solidFill>
                    <a:srgbClr val="000000"/>
                  </a:solidFill>
                  <a:latin typeface="Segoe UI"/>
                  <a:cs typeface="Segoe UI"/>
                </a:rPr>
                <a:t>Ja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50</xdr:row>
          <xdr:rowOff>0</xdr:rowOff>
        </xdr:from>
        <xdr:to>
          <xdr:col>3</xdr:col>
          <xdr:colOff>190500</xdr:colOff>
          <xdr:row>51</xdr:row>
          <xdr:rowOff>22860</xdr:rowOff>
        </xdr:to>
        <xdr:sp macro="" textlink="">
          <xdr:nvSpPr>
            <xdr:cNvPr id="57359" name="Check Box 15" hidden="1">
              <a:extLst>
                <a:ext uri="{63B3BB69-23CF-44E3-9099-C40C66FF867C}">
                  <a14:compatExt spid="_x0000_s57359"/>
                </a:ext>
                <a:ext uri="{FF2B5EF4-FFF2-40B4-BE49-F238E27FC236}">
                  <a16:creationId xmlns:a16="http://schemas.microsoft.com/office/drawing/2014/main" id="{00000000-0008-0000-0900-00000F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nl-NL" sz="800" b="0" i="0" u="none" strike="noStrike" baseline="0">
                  <a:solidFill>
                    <a:srgbClr val="000000"/>
                  </a:solidFill>
                  <a:latin typeface="Segoe UI"/>
                  <a:cs typeface="Segoe UI"/>
                </a:rPr>
                <a:t>Nee</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23</xdr:row>
          <xdr:rowOff>213360</xdr:rowOff>
        </xdr:to>
        <xdr:sp macro="" textlink="">
          <xdr:nvSpPr>
            <xdr:cNvPr id="58370" name="Check Box 2" hidden="1">
              <a:extLst>
                <a:ext uri="{63B3BB69-23CF-44E3-9099-C40C66FF867C}">
                  <a14:compatExt spid="_x0000_s58370"/>
                </a:ext>
                <a:ext uri="{FF2B5EF4-FFF2-40B4-BE49-F238E27FC236}">
                  <a16:creationId xmlns:a16="http://schemas.microsoft.com/office/drawing/2014/main" id="{00000000-0008-0000-0A00-000002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5</xdr:col>
          <xdr:colOff>0</xdr:colOff>
          <xdr:row>23</xdr:row>
          <xdr:rowOff>213360</xdr:rowOff>
        </xdr:to>
        <xdr:sp macro="" textlink="">
          <xdr:nvSpPr>
            <xdr:cNvPr id="58371" name="Check Box 3" hidden="1">
              <a:extLst>
                <a:ext uri="{63B3BB69-23CF-44E3-9099-C40C66FF867C}">
                  <a14:compatExt spid="_x0000_s58371"/>
                </a:ext>
                <a:ext uri="{FF2B5EF4-FFF2-40B4-BE49-F238E27FC236}">
                  <a16:creationId xmlns:a16="http://schemas.microsoft.com/office/drawing/2014/main" id="{00000000-0008-0000-0A00-000003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23</xdr:row>
          <xdr:rowOff>0</xdr:rowOff>
        </xdr:from>
        <xdr:to>
          <xdr:col>6</xdr:col>
          <xdr:colOff>0</xdr:colOff>
          <xdr:row>23</xdr:row>
          <xdr:rowOff>213360</xdr:rowOff>
        </xdr:to>
        <xdr:sp macro="" textlink="">
          <xdr:nvSpPr>
            <xdr:cNvPr id="58372" name="Check Box 4" hidden="1">
              <a:extLst>
                <a:ext uri="{63B3BB69-23CF-44E3-9099-C40C66FF867C}">
                  <a14:compatExt spid="_x0000_s58372"/>
                </a:ext>
                <a:ext uri="{FF2B5EF4-FFF2-40B4-BE49-F238E27FC236}">
                  <a16:creationId xmlns:a16="http://schemas.microsoft.com/office/drawing/2014/main" id="{00000000-0008-0000-0A00-000004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23</xdr:row>
          <xdr:rowOff>0</xdr:rowOff>
        </xdr:from>
        <xdr:to>
          <xdr:col>7</xdr:col>
          <xdr:colOff>0</xdr:colOff>
          <xdr:row>23</xdr:row>
          <xdr:rowOff>213360</xdr:rowOff>
        </xdr:to>
        <xdr:sp macro="" textlink="">
          <xdr:nvSpPr>
            <xdr:cNvPr id="58373" name="Check Box 5" hidden="1">
              <a:extLst>
                <a:ext uri="{63B3BB69-23CF-44E3-9099-C40C66FF867C}">
                  <a14:compatExt spid="_x0000_s58373"/>
                </a:ext>
                <a:ext uri="{FF2B5EF4-FFF2-40B4-BE49-F238E27FC236}">
                  <a16:creationId xmlns:a16="http://schemas.microsoft.com/office/drawing/2014/main" id="{00000000-0008-0000-0A00-000005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4</xdr:col>
          <xdr:colOff>0</xdr:colOff>
          <xdr:row>24</xdr:row>
          <xdr:rowOff>213360</xdr:rowOff>
        </xdr:to>
        <xdr:sp macro="" textlink="">
          <xdr:nvSpPr>
            <xdr:cNvPr id="58374" name="Check Box 6" hidden="1">
              <a:extLst>
                <a:ext uri="{63B3BB69-23CF-44E3-9099-C40C66FF867C}">
                  <a14:compatExt spid="_x0000_s58374"/>
                </a:ext>
                <a:ext uri="{FF2B5EF4-FFF2-40B4-BE49-F238E27FC236}">
                  <a16:creationId xmlns:a16="http://schemas.microsoft.com/office/drawing/2014/main" id="{00000000-0008-0000-0A00-000006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xdr:row>
          <xdr:rowOff>0</xdr:rowOff>
        </xdr:from>
        <xdr:to>
          <xdr:col>5</xdr:col>
          <xdr:colOff>0</xdr:colOff>
          <xdr:row>24</xdr:row>
          <xdr:rowOff>213360</xdr:rowOff>
        </xdr:to>
        <xdr:sp macro="" textlink="">
          <xdr:nvSpPr>
            <xdr:cNvPr id="58375" name="Check Box 7" hidden="1">
              <a:extLst>
                <a:ext uri="{63B3BB69-23CF-44E3-9099-C40C66FF867C}">
                  <a14:compatExt spid="_x0000_s58375"/>
                </a:ext>
                <a:ext uri="{FF2B5EF4-FFF2-40B4-BE49-F238E27FC236}">
                  <a16:creationId xmlns:a16="http://schemas.microsoft.com/office/drawing/2014/main" id="{00000000-0008-0000-0A00-000007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24</xdr:row>
          <xdr:rowOff>0</xdr:rowOff>
        </xdr:from>
        <xdr:to>
          <xdr:col>6</xdr:col>
          <xdr:colOff>0</xdr:colOff>
          <xdr:row>24</xdr:row>
          <xdr:rowOff>213360</xdr:rowOff>
        </xdr:to>
        <xdr:sp macro="" textlink="">
          <xdr:nvSpPr>
            <xdr:cNvPr id="58376" name="Check Box 8" hidden="1">
              <a:extLst>
                <a:ext uri="{63B3BB69-23CF-44E3-9099-C40C66FF867C}">
                  <a14:compatExt spid="_x0000_s58376"/>
                </a:ext>
                <a:ext uri="{FF2B5EF4-FFF2-40B4-BE49-F238E27FC236}">
                  <a16:creationId xmlns:a16="http://schemas.microsoft.com/office/drawing/2014/main" id="{00000000-0008-0000-0A00-000008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24</xdr:row>
          <xdr:rowOff>0</xdr:rowOff>
        </xdr:from>
        <xdr:to>
          <xdr:col>7</xdr:col>
          <xdr:colOff>0</xdr:colOff>
          <xdr:row>24</xdr:row>
          <xdr:rowOff>213360</xdr:rowOff>
        </xdr:to>
        <xdr:sp macro="" textlink="">
          <xdr:nvSpPr>
            <xdr:cNvPr id="58377" name="Check Box 9" hidden="1">
              <a:extLst>
                <a:ext uri="{63B3BB69-23CF-44E3-9099-C40C66FF867C}">
                  <a14:compatExt spid="_x0000_s58377"/>
                </a:ext>
                <a:ext uri="{FF2B5EF4-FFF2-40B4-BE49-F238E27FC236}">
                  <a16:creationId xmlns:a16="http://schemas.microsoft.com/office/drawing/2014/main" id="{00000000-0008-0000-0A00-000009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0</xdr:colOff>
          <xdr:row>25</xdr:row>
          <xdr:rowOff>213360</xdr:rowOff>
        </xdr:to>
        <xdr:sp macro="" textlink="">
          <xdr:nvSpPr>
            <xdr:cNvPr id="58378" name="Check Box 10" hidden="1">
              <a:extLst>
                <a:ext uri="{63B3BB69-23CF-44E3-9099-C40C66FF867C}">
                  <a14:compatExt spid="_x0000_s58378"/>
                </a:ext>
                <a:ext uri="{FF2B5EF4-FFF2-40B4-BE49-F238E27FC236}">
                  <a16:creationId xmlns:a16="http://schemas.microsoft.com/office/drawing/2014/main" id="{00000000-0008-0000-0A00-00000A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5</xdr:col>
          <xdr:colOff>0</xdr:colOff>
          <xdr:row>25</xdr:row>
          <xdr:rowOff>213360</xdr:rowOff>
        </xdr:to>
        <xdr:sp macro="" textlink="">
          <xdr:nvSpPr>
            <xdr:cNvPr id="58379" name="Check Box 11" hidden="1">
              <a:extLst>
                <a:ext uri="{63B3BB69-23CF-44E3-9099-C40C66FF867C}">
                  <a14:compatExt spid="_x0000_s58379"/>
                </a:ext>
                <a:ext uri="{FF2B5EF4-FFF2-40B4-BE49-F238E27FC236}">
                  <a16:creationId xmlns:a16="http://schemas.microsoft.com/office/drawing/2014/main" id="{00000000-0008-0000-0A00-00000B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25</xdr:row>
          <xdr:rowOff>0</xdr:rowOff>
        </xdr:from>
        <xdr:to>
          <xdr:col>6</xdr:col>
          <xdr:colOff>0</xdr:colOff>
          <xdr:row>25</xdr:row>
          <xdr:rowOff>213360</xdr:rowOff>
        </xdr:to>
        <xdr:sp macro="" textlink="">
          <xdr:nvSpPr>
            <xdr:cNvPr id="58380" name="Check Box 12" hidden="1">
              <a:extLst>
                <a:ext uri="{63B3BB69-23CF-44E3-9099-C40C66FF867C}">
                  <a14:compatExt spid="_x0000_s58380"/>
                </a:ext>
                <a:ext uri="{FF2B5EF4-FFF2-40B4-BE49-F238E27FC236}">
                  <a16:creationId xmlns:a16="http://schemas.microsoft.com/office/drawing/2014/main" id="{00000000-0008-0000-0A00-00000C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25</xdr:row>
          <xdr:rowOff>0</xdr:rowOff>
        </xdr:from>
        <xdr:to>
          <xdr:col>7</xdr:col>
          <xdr:colOff>0</xdr:colOff>
          <xdr:row>25</xdr:row>
          <xdr:rowOff>213360</xdr:rowOff>
        </xdr:to>
        <xdr:sp macro="" textlink="">
          <xdr:nvSpPr>
            <xdr:cNvPr id="58381" name="Check Box 13" hidden="1">
              <a:extLst>
                <a:ext uri="{63B3BB69-23CF-44E3-9099-C40C66FF867C}">
                  <a14:compatExt spid="_x0000_s58381"/>
                </a:ext>
                <a:ext uri="{FF2B5EF4-FFF2-40B4-BE49-F238E27FC236}">
                  <a16:creationId xmlns:a16="http://schemas.microsoft.com/office/drawing/2014/main" id="{00000000-0008-0000-0A00-00000D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30</xdr:row>
          <xdr:rowOff>0</xdr:rowOff>
        </xdr:from>
        <xdr:to>
          <xdr:col>4</xdr:col>
          <xdr:colOff>0</xdr:colOff>
          <xdr:row>30</xdr:row>
          <xdr:rowOff>213360</xdr:rowOff>
        </xdr:to>
        <xdr:sp macro="" textlink="">
          <xdr:nvSpPr>
            <xdr:cNvPr id="58382" name="Check Box 14" hidden="1">
              <a:extLst>
                <a:ext uri="{63B3BB69-23CF-44E3-9099-C40C66FF867C}">
                  <a14:compatExt spid="_x0000_s58382"/>
                </a:ext>
                <a:ext uri="{FF2B5EF4-FFF2-40B4-BE49-F238E27FC236}">
                  <a16:creationId xmlns:a16="http://schemas.microsoft.com/office/drawing/2014/main" id="{00000000-0008-0000-0A00-00000E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30</xdr:row>
          <xdr:rowOff>0</xdr:rowOff>
        </xdr:from>
        <xdr:to>
          <xdr:col>5</xdr:col>
          <xdr:colOff>0</xdr:colOff>
          <xdr:row>30</xdr:row>
          <xdr:rowOff>213360</xdr:rowOff>
        </xdr:to>
        <xdr:sp macro="" textlink="">
          <xdr:nvSpPr>
            <xdr:cNvPr id="58383" name="Check Box 15" hidden="1">
              <a:extLst>
                <a:ext uri="{63B3BB69-23CF-44E3-9099-C40C66FF867C}">
                  <a14:compatExt spid="_x0000_s58383"/>
                </a:ext>
                <a:ext uri="{FF2B5EF4-FFF2-40B4-BE49-F238E27FC236}">
                  <a16:creationId xmlns:a16="http://schemas.microsoft.com/office/drawing/2014/main" id="{00000000-0008-0000-0A00-00000F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61</xdr:row>
          <xdr:rowOff>0</xdr:rowOff>
        </xdr:from>
        <xdr:to>
          <xdr:col>2</xdr:col>
          <xdr:colOff>0</xdr:colOff>
          <xdr:row>62</xdr:row>
          <xdr:rowOff>22860</xdr:rowOff>
        </xdr:to>
        <xdr:sp macro="" textlink="">
          <xdr:nvSpPr>
            <xdr:cNvPr id="58384" name="Check Box 16" hidden="1">
              <a:extLst>
                <a:ext uri="{63B3BB69-23CF-44E3-9099-C40C66FF867C}">
                  <a14:compatExt spid="_x0000_s58384"/>
                </a:ext>
                <a:ext uri="{FF2B5EF4-FFF2-40B4-BE49-F238E27FC236}">
                  <a16:creationId xmlns:a16="http://schemas.microsoft.com/office/drawing/2014/main" id="{00000000-0008-0000-0A00-000010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nl-NL" sz="800" b="0" i="0" u="none" strike="noStrike" baseline="0">
                  <a:solidFill>
                    <a:srgbClr val="000000"/>
                  </a:solidFill>
                  <a:latin typeface="Segoe UI"/>
                  <a:cs typeface="Segoe UI"/>
                </a:rPr>
                <a:t>Ja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61</xdr:row>
          <xdr:rowOff>0</xdr:rowOff>
        </xdr:from>
        <xdr:to>
          <xdr:col>3</xdr:col>
          <xdr:colOff>190500</xdr:colOff>
          <xdr:row>62</xdr:row>
          <xdr:rowOff>22860</xdr:rowOff>
        </xdr:to>
        <xdr:sp macro="" textlink="">
          <xdr:nvSpPr>
            <xdr:cNvPr id="58385" name="Check Box 17" hidden="1">
              <a:extLst>
                <a:ext uri="{63B3BB69-23CF-44E3-9099-C40C66FF867C}">
                  <a14:compatExt spid="_x0000_s58385"/>
                </a:ext>
                <a:ext uri="{FF2B5EF4-FFF2-40B4-BE49-F238E27FC236}">
                  <a16:creationId xmlns:a16="http://schemas.microsoft.com/office/drawing/2014/main" id="{00000000-0008-0000-0A00-000011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nl-NL" sz="800" b="0" i="0" u="none" strike="noStrike" baseline="0">
                  <a:solidFill>
                    <a:srgbClr val="000000"/>
                  </a:solidFill>
                  <a:latin typeface="Segoe UI"/>
                  <a:cs typeface="Segoe UI"/>
                </a:rPr>
                <a:t>Nee</a:t>
              </a:r>
            </a:p>
          </xdr:txBody>
        </xdr:sp>
        <xdr:clientData/>
      </xdr:twoCellAnchor>
    </mc:Choice>
    <mc:Fallback/>
  </mc:AlternateContent>
</xdr:wsDr>
</file>

<file path=xl/theme/theme1.xml><?xml version="1.0" encoding="utf-8"?>
<a:theme xmlns:a="http://schemas.openxmlformats.org/drawingml/2006/main" name="Kantoorthema">
  <a:themeElements>
    <a:clrScheme name="Kantoor">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Kantoor">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Kantoor">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2.xml"/><Relationship Id="rId1" Type="http://schemas.openxmlformats.org/officeDocument/2006/relationships/printerSettings" Target="../printerSettings/printerSettings4.bin"/><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8.xml"/><Relationship Id="rId13" Type="http://schemas.openxmlformats.org/officeDocument/2006/relationships/ctrlProp" Target="../ctrlProps/ctrlProp13.xml"/><Relationship Id="rId18" Type="http://schemas.openxmlformats.org/officeDocument/2006/relationships/ctrlProp" Target="../ctrlProps/ctrlProp18.xml"/><Relationship Id="rId3" Type="http://schemas.openxmlformats.org/officeDocument/2006/relationships/vmlDrawing" Target="../drawings/vmlDrawing5.vml"/><Relationship Id="rId21" Type="http://schemas.openxmlformats.org/officeDocument/2006/relationships/ctrlProp" Target="../ctrlProps/ctrlProp21.xml"/><Relationship Id="rId7" Type="http://schemas.openxmlformats.org/officeDocument/2006/relationships/ctrlProp" Target="../ctrlProps/ctrlProp7.xml"/><Relationship Id="rId12" Type="http://schemas.openxmlformats.org/officeDocument/2006/relationships/ctrlProp" Target="../ctrlProps/ctrlProp12.xml"/><Relationship Id="rId17" Type="http://schemas.openxmlformats.org/officeDocument/2006/relationships/ctrlProp" Target="../ctrlProps/ctrlProp17.xml"/><Relationship Id="rId2" Type="http://schemas.openxmlformats.org/officeDocument/2006/relationships/drawing" Target="../drawings/drawing3.xml"/><Relationship Id="rId16" Type="http://schemas.openxmlformats.org/officeDocument/2006/relationships/ctrlProp" Target="../ctrlProps/ctrlProp16.xml"/><Relationship Id="rId20" Type="http://schemas.openxmlformats.org/officeDocument/2006/relationships/ctrlProp" Target="../ctrlProps/ctrlProp20.xml"/><Relationship Id="rId1" Type="http://schemas.openxmlformats.org/officeDocument/2006/relationships/printerSettings" Target="../printerSettings/printerSettings6.bin"/><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ctrlProp" Target="../ctrlProps/ctrlProp5.xml"/><Relationship Id="rId15" Type="http://schemas.openxmlformats.org/officeDocument/2006/relationships/ctrlProp" Target="../ctrlProps/ctrlProp15.xml"/><Relationship Id="rId10" Type="http://schemas.openxmlformats.org/officeDocument/2006/relationships/ctrlProp" Target="../ctrlProps/ctrlProp10.xml"/><Relationship Id="rId19" Type="http://schemas.openxmlformats.org/officeDocument/2006/relationships/ctrlProp" Target="../ctrlProps/ctrlProp19.xml"/><Relationship Id="rId4" Type="http://schemas.openxmlformats.org/officeDocument/2006/relationships/ctrlProp" Target="../ctrlProps/ctrlProp4.xml"/><Relationship Id="rId9" Type="http://schemas.openxmlformats.org/officeDocument/2006/relationships/ctrlProp" Target="../ctrlProps/ctrlProp9.xml"/><Relationship Id="rId14" Type="http://schemas.openxmlformats.org/officeDocument/2006/relationships/ctrlProp" Target="../ctrlProps/ctrlProp14.xml"/><Relationship Id="rId22" Type="http://schemas.openxmlformats.org/officeDocument/2006/relationships/comments" Target="../comments3.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26.xml"/><Relationship Id="rId13" Type="http://schemas.openxmlformats.org/officeDocument/2006/relationships/ctrlProp" Target="../ctrlProps/ctrlProp31.xml"/><Relationship Id="rId18" Type="http://schemas.openxmlformats.org/officeDocument/2006/relationships/comments" Target="../comments4.xml"/><Relationship Id="rId3" Type="http://schemas.openxmlformats.org/officeDocument/2006/relationships/vmlDrawing" Target="../drawings/vmlDrawing6.vml"/><Relationship Id="rId7" Type="http://schemas.openxmlformats.org/officeDocument/2006/relationships/ctrlProp" Target="../ctrlProps/ctrlProp25.xml"/><Relationship Id="rId12" Type="http://schemas.openxmlformats.org/officeDocument/2006/relationships/ctrlProp" Target="../ctrlProps/ctrlProp30.xml"/><Relationship Id="rId17" Type="http://schemas.openxmlformats.org/officeDocument/2006/relationships/ctrlProp" Target="../ctrlProps/ctrlProp35.xml"/><Relationship Id="rId2" Type="http://schemas.openxmlformats.org/officeDocument/2006/relationships/drawing" Target="../drawings/drawing4.xml"/><Relationship Id="rId16" Type="http://schemas.openxmlformats.org/officeDocument/2006/relationships/ctrlProp" Target="../ctrlProps/ctrlProp34.xml"/><Relationship Id="rId1" Type="http://schemas.openxmlformats.org/officeDocument/2006/relationships/printerSettings" Target="../printerSettings/printerSettings7.bin"/><Relationship Id="rId6" Type="http://schemas.openxmlformats.org/officeDocument/2006/relationships/ctrlProp" Target="../ctrlProps/ctrlProp24.xml"/><Relationship Id="rId11" Type="http://schemas.openxmlformats.org/officeDocument/2006/relationships/ctrlProp" Target="../ctrlProps/ctrlProp29.xml"/><Relationship Id="rId5" Type="http://schemas.openxmlformats.org/officeDocument/2006/relationships/ctrlProp" Target="../ctrlProps/ctrlProp23.xml"/><Relationship Id="rId15" Type="http://schemas.openxmlformats.org/officeDocument/2006/relationships/ctrlProp" Target="../ctrlProps/ctrlProp33.xml"/><Relationship Id="rId10" Type="http://schemas.openxmlformats.org/officeDocument/2006/relationships/ctrlProp" Target="../ctrlProps/ctrlProp28.xml"/><Relationship Id="rId4" Type="http://schemas.openxmlformats.org/officeDocument/2006/relationships/ctrlProp" Target="../ctrlProps/ctrlProp22.xml"/><Relationship Id="rId9" Type="http://schemas.openxmlformats.org/officeDocument/2006/relationships/ctrlProp" Target="../ctrlProps/ctrlProp27.xml"/><Relationship Id="rId14" Type="http://schemas.openxmlformats.org/officeDocument/2006/relationships/ctrlProp" Target="../ctrlProps/ctrlProp32.xml"/></Relationships>
</file>

<file path=xl/worksheets/_rels/sheet9.xml.rels><?xml version="1.0" encoding="UTF-8" standalone="yes"?>
<Relationships xmlns="http://schemas.openxmlformats.org/package/2006/relationships"><Relationship Id="rId13" Type="http://schemas.openxmlformats.org/officeDocument/2006/relationships/ctrlProp" Target="../ctrlProps/ctrlProp45.xml"/><Relationship Id="rId18" Type="http://schemas.openxmlformats.org/officeDocument/2006/relationships/ctrlProp" Target="../ctrlProps/ctrlProp50.xml"/><Relationship Id="rId26" Type="http://schemas.openxmlformats.org/officeDocument/2006/relationships/ctrlProp" Target="../ctrlProps/ctrlProp58.xml"/><Relationship Id="rId3" Type="http://schemas.openxmlformats.org/officeDocument/2006/relationships/vmlDrawing" Target="../drawings/vmlDrawing7.vml"/><Relationship Id="rId21" Type="http://schemas.openxmlformats.org/officeDocument/2006/relationships/ctrlProp" Target="../ctrlProps/ctrlProp53.xml"/><Relationship Id="rId34" Type="http://schemas.openxmlformats.org/officeDocument/2006/relationships/ctrlProp" Target="../ctrlProps/ctrlProp66.xml"/><Relationship Id="rId7" Type="http://schemas.openxmlformats.org/officeDocument/2006/relationships/ctrlProp" Target="../ctrlProps/ctrlProp39.xml"/><Relationship Id="rId12" Type="http://schemas.openxmlformats.org/officeDocument/2006/relationships/ctrlProp" Target="../ctrlProps/ctrlProp44.xml"/><Relationship Id="rId17" Type="http://schemas.openxmlformats.org/officeDocument/2006/relationships/ctrlProp" Target="../ctrlProps/ctrlProp49.xml"/><Relationship Id="rId25" Type="http://schemas.openxmlformats.org/officeDocument/2006/relationships/ctrlProp" Target="../ctrlProps/ctrlProp57.xml"/><Relationship Id="rId33" Type="http://schemas.openxmlformats.org/officeDocument/2006/relationships/ctrlProp" Target="../ctrlProps/ctrlProp65.xml"/><Relationship Id="rId2" Type="http://schemas.openxmlformats.org/officeDocument/2006/relationships/drawing" Target="../drawings/drawing5.xml"/><Relationship Id="rId16" Type="http://schemas.openxmlformats.org/officeDocument/2006/relationships/ctrlProp" Target="../ctrlProps/ctrlProp48.xml"/><Relationship Id="rId20" Type="http://schemas.openxmlformats.org/officeDocument/2006/relationships/ctrlProp" Target="../ctrlProps/ctrlProp52.xml"/><Relationship Id="rId29" Type="http://schemas.openxmlformats.org/officeDocument/2006/relationships/ctrlProp" Target="../ctrlProps/ctrlProp61.xml"/><Relationship Id="rId1" Type="http://schemas.openxmlformats.org/officeDocument/2006/relationships/printerSettings" Target="../printerSettings/printerSettings8.bin"/><Relationship Id="rId6" Type="http://schemas.openxmlformats.org/officeDocument/2006/relationships/ctrlProp" Target="../ctrlProps/ctrlProp38.xml"/><Relationship Id="rId11" Type="http://schemas.openxmlformats.org/officeDocument/2006/relationships/ctrlProp" Target="../ctrlProps/ctrlProp43.xml"/><Relationship Id="rId24" Type="http://schemas.openxmlformats.org/officeDocument/2006/relationships/ctrlProp" Target="../ctrlProps/ctrlProp56.xml"/><Relationship Id="rId32" Type="http://schemas.openxmlformats.org/officeDocument/2006/relationships/ctrlProp" Target="../ctrlProps/ctrlProp64.xml"/><Relationship Id="rId5" Type="http://schemas.openxmlformats.org/officeDocument/2006/relationships/ctrlProp" Target="../ctrlProps/ctrlProp37.xml"/><Relationship Id="rId15" Type="http://schemas.openxmlformats.org/officeDocument/2006/relationships/ctrlProp" Target="../ctrlProps/ctrlProp47.xml"/><Relationship Id="rId23" Type="http://schemas.openxmlformats.org/officeDocument/2006/relationships/ctrlProp" Target="../ctrlProps/ctrlProp55.xml"/><Relationship Id="rId28" Type="http://schemas.openxmlformats.org/officeDocument/2006/relationships/ctrlProp" Target="../ctrlProps/ctrlProp60.xml"/><Relationship Id="rId36" Type="http://schemas.openxmlformats.org/officeDocument/2006/relationships/comments" Target="../comments5.xml"/><Relationship Id="rId10" Type="http://schemas.openxmlformats.org/officeDocument/2006/relationships/ctrlProp" Target="../ctrlProps/ctrlProp42.xml"/><Relationship Id="rId19" Type="http://schemas.openxmlformats.org/officeDocument/2006/relationships/ctrlProp" Target="../ctrlProps/ctrlProp51.xml"/><Relationship Id="rId31" Type="http://schemas.openxmlformats.org/officeDocument/2006/relationships/ctrlProp" Target="../ctrlProps/ctrlProp63.xml"/><Relationship Id="rId4" Type="http://schemas.openxmlformats.org/officeDocument/2006/relationships/ctrlProp" Target="../ctrlProps/ctrlProp36.xml"/><Relationship Id="rId9" Type="http://schemas.openxmlformats.org/officeDocument/2006/relationships/ctrlProp" Target="../ctrlProps/ctrlProp41.xml"/><Relationship Id="rId14" Type="http://schemas.openxmlformats.org/officeDocument/2006/relationships/ctrlProp" Target="../ctrlProps/ctrlProp46.xml"/><Relationship Id="rId22" Type="http://schemas.openxmlformats.org/officeDocument/2006/relationships/ctrlProp" Target="../ctrlProps/ctrlProp54.xml"/><Relationship Id="rId27" Type="http://schemas.openxmlformats.org/officeDocument/2006/relationships/ctrlProp" Target="../ctrlProps/ctrlProp59.xml"/><Relationship Id="rId30" Type="http://schemas.openxmlformats.org/officeDocument/2006/relationships/ctrlProp" Target="../ctrlProps/ctrlProp62.xml"/><Relationship Id="rId35" Type="http://schemas.openxmlformats.org/officeDocument/2006/relationships/ctrlProp" Target="../ctrlProps/ctrlProp67.xml"/><Relationship Id="rId8" Type="http://schemas.openxmlformats.org/officeDocument/2006/relationships/ctrlProp" Target="../ctrlProps/ctrlProp40.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72.xml"/><Relationship Id="rId13" Type="http://schemas.openxmlformats.org/officeDocument/2006/relationships/ctrlProp" Target="../ctrlProps/ctrlProp77.xml"/><Relationship Id="rId18" Type="http://schemas.openxmlformats.org/officeDocument/2006/relationships/comments" Target="../comments6.xml"/><Relationship Id="rId3" Type="http://schemas.openxmlformats.org/officeDocument/2006/relationships/vmlDrawing" Target="../drawings/vmlDrawing8.vml"/><Relationship Id="rId7" Type="http://schemas.openxmlformats.org/officeDocument/2006/relationships/ctrlProp" Target="../ctrlProps/ctrlProp71.xml"/><Relationship Id="rId12" Type="http://schemas.openxmlformats.org/officeDocument/2006/relationships/ctrlProp" Target="../ctrlProps/ctrlProp76.xml"/><Relationship Id="rId17" Type="http://schemas.openxmlformats.org/officeDocument/2006/relationships/ctrlProp" Target="../ctrlProps/ctrlProp81.xml"/><Relationship Id="rId2" Type="http://schemas.openxmlformats.org/officeDocument/2006/relationships/drawing" Target="../drawings/drawing6.xml"/><Relationship Id="rId16" Type="http://schemas.openxmlformats.org/officeDocument/2006/relationships/ctrlProp" Target="../ctrlProps/ctrlProp80.xml"/><Relationship Id="rId1" Type="http://schemas.openxmlformats.org/officeDocument/2006/relationships/printerSettings" Target="../printerSettings/printerSettings9.bin"/><Relationship Id="rId6" Type="http://schemas.openxmlformats.org/officeDocument/2006/relationships/ctrlProp" Target="../ctrlProps/ctrlProp70.xml"/><Relationship Id="rId11" Type="http://schemas.openxmlformats.org/officeDocument/2006/relationships/ctrlProp" Target="../ctrlProps/ctrlProp75.xml"/><Relationship Id="rId5" Type="http://schemas.openxmlformats.org/officeDocument/2006/relationships/ctrlProp" Target="../ctrlProps/ctrlProp69.xml"/><Relationship Id="rId15" Type="http://schemas.openxmlformats.org/officeDocument/2006/relationships/ctrlProp" Target="../ctrlProps/ctrlProp79.xml"/><Relationship Id="rId10" Type="http://schemas.openxmlformats.org/officeDocument/2006/relationships/ctrlProp" Target="../ctrlProps/ctrlProp74.xml"/><Relationship Id="rId4" Type="http://schemas.openxmlformats.org/officeDocument/2006/relationships/ctrlProp" Target="../ctrlProps/ctrlProp68.xml"/><Relationship Id="rId9" Type="http://schemas.openxmlformats.org/officeDocument/2006/relationships/ctrlProp" Target="../ctrlProps/ctrlProp73.xml"/><Relationship Id="rId14" Type="http://schemas.openxmlformats.org/officeDocument/2006/relationships/ctrlProp" Target="../ctrlProps/ctrlProp78.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86.xml"/><Relationship Id="rId13" Type="http://schemas.openxmlformats.org/officeDocument/2006/relationships/ctrlProp" Target="../ctrlProps/ctrlProp91.xml"/><Relationship Id="rId18" Type="http://schemas.openxmlformats.org/officeDocument/2006/relationships/ctrlProp" Target="../ctrlProps/ctrlProp96.xml"/><Relationship Id="rId3" Type="http://schemas.openxmlformats.org/officeDocument/2006/relationships/vmlDrawing" Target="../drawings/vmlDrawing9.vml"/><Relationship Id="rId7" Type="http://schemas.openxmlformats.org/officeDocument/2006/relationships/ctrlProp" Target="../ctrlProps/ctrlProp85.xml"/><Relationship Id="rId12" Type="http://schemas.openxmlformats.org/officeDocument/2006/relationships/ctrlProp" Target="../ctrlProps/ctrlProp90.xml"/><Relationship Id="rId17" Type="http://schemas.openxmlformats.org/officeDocument/2006/relationships/ctrlProp" Target="../ctrlProps/ctrlProp95.xml"/><Relationship Id="rId2" Type="http://schemas.openxmlformats.org/officeDocument/2006/relationships/drawing" Target="../drawings/drawing7.xml"/><Relationship Id="rId16" Type="http://schemas.openxmlformats.org/officeDocument/2006/relationships/ctrlProp" Target="../ctrlProps/ctrlProp94.xml"/><Relationship Id="rId20" Type="http://schemas.openxmlformats.org/officeDocument/2006/relationships/comments" Target="../comments7.xml"/><Relationship Id="rId1" Type="http://schemas.openxmlformats.org/officeDocument/2006/relationships/printerSettings" Target="../printerSettings/printerSettings10.bin"/><Relationship Id="rId6" Type="http://schemas.openxmlformats.org/officeDocument/2006/relationships/ctrlProp" Target="../ctrlProps/ctrlProp84.xml"/><Relationship Id="rId11" Type="http://schemas.openxmlformats.org/officeDocument/2006/relationships/ctrlProp" Target="../ctrlProps/ctrlProp89.xml"/><Relationship Id="rId5" Type="http://schemas.openxmlformats.org/officeDocument/2006/relationships/ctrlProp" Target="../ctrlProps/ctrlProp83.xml"/><Relationship Id="rId15" Type="http://schemas.openxmlformats.org/officeDocument/2006/relationships/ctrlProp" Target="../ctrlProps/ctrlProp93.xml"/><Relationship Id="rId10" Type="http://schemas.openxmlformats.org/officeDocument/2006/relationships/ctrlProp" Target="../ctrlProps/ctrlProp88.xml"/><Relationship Id="rId19" Type="http://schemas.openxmlformats.org/officeDocument/2006/relationships/ctrlProp" Target="../ctrlProps/ctrlProp97.xml"/><Relationship Id="rId4" Type="http://schemas.openxmlformats.org/officeDocument/2006/relationships/ctrlProp" Target="../ctrlProps/ctrlProp82.xml"/><Relationship Id="rId9" Type="http://schemas.openxmlformats.org/officeDocument/2006/relationships/ctrlProp" Target="../ctrlProps/ctrlProp87.xml"/><Relationship Id="rId14" Type="http://schemas.openxmlformats.org/officeDocument/2006/relationships/ctrlProp" Target="../ctrlProps/ctrlProp9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Blad1">
    <tabColor theme="9" tint="0.39997558519241921"/>
  </sheetPr>
  <dimension ref="B2:C21"/>
  <sheetViews>
    <sheetView workbookViewId="0">
      <selection activeCell="F10" sqref="F10"/>
    </sheetView>
  </sheetViews>
  <sheetFormatPr defaultRowHeight="14.4" x14ac:dyDescent="0.3"/>
  <cols>
    <col min="2" max="2" width="33.21875" customWidth="1"/>
    <col min="3" max="3" width="65.44140625" customWidth="1"/>
  </cols>
  <sheetData>
    <row r="2" spans="2:3" x14ac:dyDescent="0.3">
      <c r="B2" t="s">
        <v>0</v>
      </c>
    </row>
    <row r="3" spans="2:3" x14ac:dyDescent="0.3">
      <c r="B3" s="2" t="s">
        <v>1</v>
      </c>
    </row>
    <row r="4" spans="2:3" x14ac:dyDescent="0.3">
      <c r="B4" s="2" t="s">
        <v>2</v>
      </c>
    </row>
    <row r="6" spans="2:3" x14ac:dyDescent="0.3">
      <c r="B6" t="s">
        <v>3</v>
      </c>
    </row>
    <row r="7" spans="2:3" x14ac:dyDescent="0.3">
      <c r="B7" s="2">
        <v>0</v>
      </c>
      <c r="C7" s="15" t="s">
        <v>4</v>
      </c>
    </row>
    <row r="9" spans="2:3" x14ac:dyDescent="0.3">
      <c r="B9" t="s">
        <v>5</v>
      </c>
    </row>
    <row r="10" spans="2:3" ht="45" customHeight="1" x14ac:dyDescent="0.3">
      <c r="B10" s="17" t="s">
        <v>6</v>
      </c>
      <c r="C10" s="20" t="s">
        <v>7</v>
      </c>
    </row>
    <row r="12" spans="2:3" x14ac:dyDescent="0.3">
      <c r="B12" t="s">
        <v>8</v>
      </c>
      <c r="C12" s="33"/>
    </row>
    <row r="15" spans="2:3" x14ac:dyDescent="0.3">
      <c r="B15" t="s">
        <v>9</v>
      </c>
      <c r="C15" s="38" t="s">
        <v>10</v>
      </c>
    </row>
    <row r="17" spans="2:3" x14ac:dyDescent="0.3">
      <c r="B17" t="s">
        <v>11</v>
      </c>
      <c r="C17" t="s">
        <v>12</v>
      </c>
    </row>
    <row r="19" spans="2:3" x14ac:dyDescent="0.3">
      <c r="B19" t="s">
        <v>13</v>
      </c>
      <c r="C19" s="50">
        <v>45</v>
      </c>
    </row>
    <row r="21" spans="2:3" x14ac:dyDescent="0.3">
      <c r="B21" t="s">
        <v>14</v>
      </c>
      <c r="C21" s="2" t="s">
        <v>15</v>
      </c>
    </row>
  </sheetData>
  <pageMargins left="0.7" right="0.7" top="0.75" bottom="0.75" header="0.3" footer="0.3"/>
  <legacy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Blad4">
    <tabColor theme="9" tint="0.39997558519241921"/>
    <pageSetUpPr fitToPage="1"/>
  </sheetPr>
  <dimension ref="A1:F14"/>
  <sheetViews>
    <sheetView workbookViewId="0">
      <selection activeCell="I5" sqref="I5"/>
    </sheetView>
  </sheetViews>
  <sheetFormatPr defaultRowHeight="14.4" x14ac:dyDescent="0.3"/>
  <cols>
    <col min="1" max="1" width="33.21875" customWidth="1"/>
    <col min="2" max="3" width="33.5546875" customWidth="1"/>
  </cols>
  <sheetData>
    <row r="1" spans="1:6" ht="31.2" x14ac:dyDescent="0.6">
      <c r="A1" s="101" t="s">
        <v>16</v>
      </c>
      <c r="B1" s="101"/>
      <c r="C1" s="101"/>
    </row>
    <row r="3" spans="1:6" ht="24" customHeight="1" x14ac:dyDescent="0.3">
      <c r="A3" s="96" t="s">
        <v>17</v>
      </c>
      <c r="B3" s="97"/>
      <c r="C3" s="98"/>
    </row>
    <row r="4" spans="1:6" ht="2.25" customHeight="1" x14ac:dyDescent="0.3">
      <c r="A4" s="27"/>
      <c r="B4" s="35"/>
      <c r="C4" s="35"/>
    </row>
    <row r="5" spans="1:6" s="16" customFormat="1" ht="34.5" customHeight="1" x14ac:dyDescent="0.3">
      <c r="A5" s="51" t="s">
        <v>18</v>
      </c>
      <c r="B5" s="34" t="str">
        <f>KerntakenEnWerkprocessen!B4</f>
        <v>BF_SD_SD20_B1-K1_2</v>
      </c>
      <c r="C5" s="37">
        <f>KerntakenEnWerkprocessen!B3</f>
        <v>44131</v>
      </c>
    </row>
    <row r="6" spans="1:6" s="16" customFormat="1" ht="23.25" customHeight="1" x14ac:dyDescent="0.3">
      <c r="A6" s="52" t="s">
        <v>19</v>
      </c>
      <c r="B6" s="102" t="str">
        <f>KerntakenEnWerkprocessen!C6</f>
        <v>Praktijkexamen</v>
      </c>
      <c r="C6" s="103"/>
    </row>
    <row r="7" spans="1:6" s="16" customFormat="1" ht="23.25" customHeight="1" x14ac:dyDescent="0.3">
      <c r="A7" s="52" t="s">
        <v>20</v>
      </c>
      <c r="B7" s="102" t="str">
        <f>KerntakenEnWerkprocessen!B7</f>
        <v>[Examennaam]</v>
      </c>
      <c r="C7" s="103"/>
    </row>
    <row r="8" spans="1:6" s="16" customFormat="1" ht="23.25" customHeight="1" x14ac:dyDescent="0.3">
      <c r="A8" s="52" t="s">
        <v>21</v>
      </c>
      <c r="B8" s="102" t="str">
        <f>KerntakenEnWerkprocessen!C7</f>
        <v xml:space="preserve">SD_SD20_B1-K1_2v3 </v>
      </c>
      <c r="C8" s="103"/>
    </row>
    <row r="9" spans="1:6" s="16" customFormat="1" ht="23.25" customHeight="1" x14ac:dyDescent="0.3">
      <c r="A9" s="52" t="s">
        <v>22</v>
      </c>
      <c r="B9" s="102" t="str">
        <f>KerntakenEnWerkprocessen!B9</f>
        <v>P1: Software developer, 4</v>
      </c>
      <c r="C9" s="103"/>
    </row>
    <row r="10" spans="1:6" s="16" customFormat="1" ht="23.25" customHeight="1" x14ac:dyDescent="0.3">
      <c r="A10" s="52" t="s">
        <v>23</v>
      </c>
      <c r="B10" s="102" t="str">
        <f>KerntakenEnWerkprocessen!B8</f>
        <v>Softwaredevelopment</v>
      </c>
      <c r="C10" s="103"/>
    </row>
    <row r="11" spans="1:6" s="16" customFormat="1" ht="23.25" customHeight="1" x14ac:dyDescent="0.3">
      <c r="A11" s="52" t="s">
        <v>24</v>
      </c>
      <c r="B11" s="19" t="str">
        <f>KerntakenEnWerkprocessen!C8</f>
        <v>2020 en verder</v>
      </c>
      <c r="C11" s="19">
        <f>KerntakenEnWerkprocessen!C9</f>
        <v>25604</v>
      </c>
    </row>
    <row r="12" spans="1:6" s="32" customFormat="1" ht="23.25" customHeight="1" x14ac:dyDescent="0.3">
      <c r="A12" s="53" t="s">
        <v>25</v>
      </c>
      <c r="B12" s="100" t="str">
        <f>KerntakenEnWerkprocessen!C5</f>
        <v>Realiseert software</v>
      </c>
      <c r="C12" s="100"/>
    </row>
    <row r="13" spans="1:6" s="16" customFormat="1" ht="2.1" customHeight="1" x14ac:dyDescent="0.3">
      <c r="A13" s="54"/>
      <c r="B13" s="28"/>
      <c r="C13" s="29"/>
    </row>
    <row r="14" spans="1:6" ht="222.75" customHeight="1" x14ac:dyDescent="0.3">
      <c r="A14" s="55" t="s">
        <v>26</v>
      </c>
      <c r="B14" s="99" t="str">
        <f>KerntakenEnWerkprocessen!F2</f>
        <v xml:space="preserve">B1-K1-W1 Plant werkzaamheden en bewaakt de voortgang
B1-K1-W2 Ontwerpt software
B1-K1-W3 Realiseert (onderdelen van) software
B1-K1-W4 Test software
B1-K1-W5 Doet verbetervoorstellen voor de software
</v>
      </c>
      <c r="C14" s="99"/>
      <c r="F14" s="26"/>
    </row>
  </sheetData>
  <mergeCells count="9">
    <mergeCell ref="A3:C3"/>
    <mergeCell ref="B14:C14"/>
    <mergeCell ref="B12:C12"/>
    <mergeCell ref="A1:C1"/>
    <mergeCell ref="B7:C7"/>
    <mergeCell ref="B8:C8"/>
    <mergeCell ref="B6:C6"/>
    <mergeCell ref="B10:C10"/>
    <mergeCell ref="B9:C9"/>
  </mergeCells>
  <pageMargins left="0.70866141732283472" right="0.70866141732283472" top="0.74803149606299213" bottom="0.74803149606299213" header="0.31496062992125984" footer="0.31496062992125984"/>
  <pageSetup paperSize="9" scale="86" orientation="portrait" r:id="rId1"/>
  <headerFooter>
    <oddFooter>Pagina &amp;P van &amp;N</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Blad27">
    <tabColor theme="9" tint="0.39997558519241921"/>
    <pageSetUpPr fitToPage="1"/>
  </sheetPr>
  <dimension ref="A1:G20"/>
  <sheetViews>
    <sheetView showGridLines="0" workbookViewId="0">
      <selection activeCell="B15" sqref="B15"/>
    </sheetView>
  </sheetViews>
  <sheetFormatPr defaultRowHeight="14.4" x14ac:dyDescent="0.3"/>
  <cols>
    <col min="1" max="1" width="18.21875" customWidth="1"/>
    <col min="2" max="2" width="20.21875" customWidth="1"/>
    <col min="3" max="3" width="17.21875" customWidth="1"/>
    <col min="4" max="7" width="23.77734375" style="8" customWidth="1"/>
  </cols>
  <sheetData>
    <row r="1" spans="1:7" x14ac:dyDescent="0.3">
      <c r="A1" t="s">
        <v>27</v>
      </c>
      <c r="B1" s="6"/>
      <c r="C1" s="49" t="e">
        <f>VLOOKUP(B1,werkprocessen,2,FALSE)</f>
        <v>#N/A</v>
      </c>
    </row>
    <row r="2" spans="1:7" x14ac:dyDescent="0.3">
      <c r="A2" t="s">
        <v>28</v>
      </c>
      <c r="B2" s="6" t="e">
        <f>VLOOKUP(B1,KerntakenEnWerkprocessen!B13:E27,3,FALSE)</f>
        <v>#N/A</v>
      </c>
    </row>
    <row r="3" spans="1:7" x14ac:dyDescent="0.3">
      <c r="A3" t="s">
        <v>29</v>
      </c>
      <c r="B3" s="6" t="e">
        <f>VLOOKUP(B1,KerntakenEnWerkprocessen!B13:E27,4,FALSE)</f>
        <v>#N/A</v>
      </c>
    </row>
    <row r="4" spans="1:7" x14ac:dyDescent="0.3">
      <c r="A4" t="s">
        <v>30</v>
      </c>
      <c r="B4" s="6">
        <f>SUM(N:N)</f>
        <v>0</v>
      </c>
      <c r="C4" s="48" t="s">
        <v>31</v>
      </c>
      <c r="D4" s="47" t="b">
        <f>IF(SUM(O:O)&gt;0,TRUE,FALSE)</f>
        <v>0</v>
      </c>
    </row>
    <row r="5" spans="1:7" x14ac:dyDescent="0.3">
      <c r="A5" t="s">
        <v>32</v>
      </c>
      <c r="B5" s="6">
        <f>SUM(M:M)</f>
        <v>0</v>
      </c>
    </row>
    <row r="6" spans="1:7" x14ac:dyDescent="0.3">
      <c r="A6" t="s">
        <v>33</v>
      </c>
      <c r="B6" s="6">
        <f>COUNTIF(N:N,1)</f>
        <v>0</v>
      </c>
    </row>
    <row r="7" spans="1:7" x14ac:dyDescent="0.3">
      <c r="A7" t="s">
        <v>34</v>
      </c>
      <c r="B7" s="6">
        <f>COUNTIF(N:N,2)+COUNTIF(N:N,3)</f>
        <v>0</v>
      </c>
    </row>
    <row r="8" spans="1:7" x14ac:dyDescent="0.3">
      <c r="A8" t="s">
        <v>35</v>
      </c>
      <c r="B8" s="6">
        <f>0.5*B4</f>
        <v>0</v>
      </c>
    </row>
    <row r="10" spans="1:7" ht="36.75" customHeight="1" x14ac:dyDescent="0.6">
      <c r="B10" s="104" t="str">
        <f>CONCATENATE(kerntaakCode,": ",kerntaakNaam)</f>
        <v>B1-K1: Realiseert software</v>
      </c>
      <c r="C10" s="104"/>
      <c r="D10" s="104"/>
      <c r="E10" s="104"/>
      <c r="F10" s="104"/>
      <c r="G10" s="104"/>
    </row>
    <row r="11" spans="1:7" ht="28.5" customHeight="1" x14ac:dyDescent="0.5">
      <c r="B11" s="105" t="e">
        <f>CONCATENATE(VLOOKUP(B1,werkprocessen,1,FALSE),": ",C1)</f>
        <v>#N/A</v>
      </c>
      <c r="C11" s="105"/>
      <c r="D11" s="105"/>
      <c r="E11" s="105"/>
      <c r="F11" s="105"/>
      <c r="G11" s="105"/>
    </row>
    <row r="13" spans="1:7" ht="24" customHeight="1" x14ac:dyDescent="0.3">
      <c r="B13" s="96" t="s">
        <v>36</v>
      </c>
      <c r="C13" s="97"/>
      <c r="D13" s="97"/>
      <c r="E13" s="97"/>
      <c r="F13" s="97"/>
      <c r="G13" s="98"/>
    </row>
    <row r="14" spans="1:7" ht="22.5" customHeight="1" x14ac:dyDescent="0.3">
      <c r="B14" s="56" t="s">
        <v>37</v>
      </c>
      <c r="C14" s="11"/>
      <c r="D14" s="9"/>
      <c r="E14" s="9"/>
      <c r="F14" s="9"/>
      <c r="G14" s="13"/>
    </row>
    <row r="15" spans="1:7" ht="22.5" customHeight="1" x14ac:dyDescent="0.3">
      <c r="B15" s="56" t="s">
        <v>38</v>
      </c>
      <c r="C15" s="12"/>
      <c r="D15" s="10"/>
      <c r="E15" s="10"/>
      <c r="F15" s="10"/>
      <c r="G15" s="14"/>
    </row>
    <row r="16" spans="1:7" ht="22.5" customHeight="1" x14ac:dyDescent="0.3">
      <c r="B16" s="56" t="s">
        <v>39</v>
      </c>
      <c r="C16" s="12"/>
      <c r="D16" s="10"/>
      <c r="E16" s="10"/>
      <c r="F16" s="10"/>
      <c r="G16" s="14"/>
    </row>
    <row r="17" spans="2:7" ht="22.5" customHeight="1" x14ac:dyDescent="0.3">
      <c r="B17" s="56" t="s">
        <v>40</v>
      </c>
      <c r="C17" s="12"/>
      <c r="D17" s="10"/>
      <c r="E17" s="10"/>
      <c r="F17" s="10"/>
      <c r="G17" s="14"/>
    </row>
    <row r="18" spans="2:7" ht="22.5" customHeight="1" x14ac:dyDescent="0.3">
      <c r="B18" s="56" t="s">
        <v>41</v>
      </c>
      <c r="C18" s="12"/>
      <c r="D18" s="10"/>
      <c r="E18" s="10"/>
      <c r="F18" s="10"/>
      <c r="G18" s="14"/>
    </row>
    <row r="19" spans="2:7" ht="22.5" customHeight="1" x14ac:dyDescent="0.3">
      <c r="B19" s="56" t="s">
        <v>42</v>
      </c>
      <c r="C19" s="12"/>
      <c r="D19" s="10"/>
      <c r="E19" s="10"/>
      <c r="F19" s="10"/>
      <c r="G19" s="14"/>
    </row>
    <row r="20" spans="2:7" ht="23.25" customHeight="1" x14ac:dyDescent="0.3"/>
  </sheetData>
  <mergeCells count="3">
    <mergeCell ref="B10:G10"/>
    <mergeCell ref="B11:G11"/>
    <mergeCell ref="B13:G13"/>
  </mergeCells>
  <pageMargins left="0.70866141732283472" right="0.70866141732283472" top="0.74803149606299213" bottom="0.74803149606299213" header="0.31496062992125984" footer="0.31496062992125984"/>
  <pageSetup paperSize="9" scale="66" fitToHeight="0" orientation="portrait" r:id="rId1"/>
  <headerFooter>
    <oddFooter>Pagina &amp;P van &amp;N</oddFooter>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Blad2">
    <tabColor theme="4" tint="0.39997558519241921"/>
  </sheetPr>
  <dimension ref="A1:F29"/>
  <sheetViews>
    <sheetView workbookViewId="0">
      <selection activeCell="C6" sqref="C6"/>
    </sheetView>
  </sheetViews>
  <sheetFormatPr defaultRowHeight="14.4" x14ac:dyDescent="0.3"/>
  <cols>
    <col min="1" max="1" width="29.77734375" customWidth="1"/>
    <col min="2" max="2" width="28.21875" customWidth="1"/>
    <col min="3" max="3" width="55.77734375" customWidth="1"/>
    <col min="4" max="5" width="16.44140625" hidden="1" customWidth="1"/>
    <col min="6" max="6" width="53.5546875" hidden="1" customWidth="1"/>
    <col min="7" max="7" width="13.77734375" customWidth="1"/>
  </cols>
  <sheetData>
    <row r="1" spans="1:6" ht="36.75" customHeight="1" x14ac:dyDescent="0.3">
      <c r="A1" s="1" t="s">
        <v>43</v>
      </c>
    </row>
    <row r="2" spans="1:6" ht="187.5" hidden="1" customHeight="1" x14ac:dyDescent="0.3">
      <c r="A2" s="1"/>
      <c r="F2" s="18" t="str">
        <f>F27</f>
        <v xml:space="preserve">B1-K1-W1 Plant werkzaamheden en bewaakt de voortgang
B1-K1-W2 Ontwerpt software
B1-K1-W3 Realiseert (onderdelen van) software
B1-K1-W4 Test software
B1-K1-W5 Doet verbetervoorstellen voor de software
</v>
      </c>
    </row>
    <row r="3" spans="1:6" x14ac:dyDescent="0.3">
      <c r="A3" s="36" t="s">
        <v>44</v>
      </c>
      <c r="B3" s="46">
        <v>44131</v>
      </c>
    </row>
    <row r="4" spans="1:6" x14ac:dyDescent="0.3">
      <c r="A4" s="36" t="s">
        <v>45</v>
      </c>
      <c r="B4" s="106" t="s">
        <v>46</v>
      </c>
      <c r="C4" s="106"/>
    </row>
    <row r="5" spans="1:6" ht="15" customHeight="1" x14ac:dyDescent="0.3">
      <c r="A5" s="30" t="s">
        <v>25</v>
      </c>
      <c r="B5" s="57" t="s">
        <v>47</v>
      </c>
      <c r="C5" s="57" t="s">
        <v>48</v>
      </c>
    </row>
    <row r="6" spans="1:6" x14ac:dyDescent="0.3">
      <c r="A6" t="s">
        <v>19</v>
      </c>
      <c r="C6" s="57" t="s">
        <v>49</v>
      </c>
    </row>
    <row r="7" spans="1:6" x14ac:dyDescent="0.3">
      <c r="A7" t="s">
        <v>50</v>
      </c>
      <c r="B7" s="21" t="s">
        <v>51</v>
      </c>
      <c r="C7" s="57" t="s">
        <v>52</v>
      </c>
    </row>
    <row r="8" spans="1:6" x14ac:dyDescent="0.3">
      <c r="A8" t="s">
        <v>53</v>
      </c>
      <c r="B8" s="57" t="s">
        <v>54</v>
      </c>
      <c r="C8" s="57" t="s">
        <v>55</v>
      </c>
    </row>
    <row r="9" spans="1:6" ht="15" customHeight="1" x14ac:dyDescent="0.3">
      <c r="A9" s="39" t="s">
        <v>56</v>
      </c>
      <c r="B9" s="57" t="s">
        <v>57</v>
      </c>
      <c r="C9" s="57">
        <v>25604</v>
      </c>
    </row>
    <row r="12" spans="1:6" x14ac:dyDescent="0.3">
      <c r="A12" t="s">
        <v>26</v>
      </c>
      <c r="B12" s="3" t="s">
        <v>58</v>
      </c>
      <c r="C12" s="3" t="s">
        <v>59</v>
      </c>
      <c r="D12" s="4" t="s">
        <v>60</v>
      </c>
      <c r="E12" s="4" t="s">
        <v>61</v>
      </c>
      <c r="F12" s="4" t="s">
        <v>62</v>
      </c>
    </row>
    <row r="13" spans="1:6" x14ac:dyDescent="0.3">
      <c r="B13" s="57" t="s">
        <v>63</v>
      </c>
      <c r="C13" s="57" t="s">
        <v>64</v>
      </c>
      <c r="D13" s="5">
        <f t="array" ref="D13">MIN(IF(Beheersingsniveaus!$A$4:$A$153=KerntakenEnWerkprocessen!$B13,Beheersingsniveaus!$B$4:$B$153))</f>
        <v>1</v>
      </c>
      <c r="E13" s="5">
        <f t="array" ref="E13">MAX(IF(Beheersingsniveaus!$A$4:$A$153=KerntakenEnWerkprocessen!$B13,Beheersingsniveaus!$B$4:$B$153))</f>
        <v>1</v>
      </c>
      <c r="F13" s="5" t="str">
        <f>B13&amp;" "&amp;C13&amp;CHAR(10)</f>
        <v xml:space="preserve">B1-K1-W1 Plant werkzaamheden en bewaakt de voortgang
</v>
      </c>
    </row>
    <row r="14" spans="1:6" x14ac:dyDescent="0.3">
      <c r="B14" s="57" t="s">
        <v>65</v>
      </c>
      <c r="C14" s="57" t="s">
        <v>66</v>
      </c>
      <c r="D14" s="5">
        <f t="array" ref="D14">MIN(IF(Beheersingsniveaus!$A$4:$A$153=KerntakenEnWerkprocessen!$B14,Beheersingsniveaus!$B$4:$B$153))</f>
        <v>2</v>
      </c>
      <c r="E14" s="5">
        <f t="array" ref="E14">MAX(IF(Beheersingsniveaus!$A$4:$A$153=KerntakenEnWerkprocessen!$B14,Beheersingsniveaus!$B$4:$B$153))</f>
        <v>2</v>
      </c>
      <c r="F14" s="5" t="str">
        <f>F13&amp;B14&amp;" "&amp;C14&amp;CHAR(10)</f>
        <v xml:space="preserve">B1-K1-W1 Plant werkzaamheden en bewaakt de voortgang
B1-K1-W2 Ontwerpt software
</v>
      </c>
    </row>
    <row r="15" spans="1:6" x14ac:dyDescent="0.3">
      <c r="B15" s="57" t="s">
        <v>67</v>
      </c>
      <c r="C15" s="57" t="s">
        <v>68</v>
      </c>
      <c r="D15" s="5">
        <f t="array" ref="D15">MIN(IF(Beheersingsniveaus!$A$4:$A$153=KerntakenEnWerkprocessen!$B15,Beheersingsniveaus!$B$4:$B$153))</f>
        <v>3</v>
      </c>
      <c r="E15" s="5">
        <f t="array" ref="E15">MAX(IF(Beheersingsniveaus!$A$4:$A$153=KerntakenEnWerkprocessen!$B15,Beheersingsniveaus!$B$4:$B$153))</f>
        <v>3</v>
      </c>
      <c r="F15" s="5" t="str">
        <f t="shared" ref="F15:F22" si="0">F14&amp;B15&amp;" "&amp;C15&amp;CHAR(10)</f>
        <v xml:space="preserve">B1-K1-W1 Plant werkzaamheden en bewaakt de voortgang
B1-K1-W2 Ontwerpt software
B1-K1-W3 Realiseert (onderdelen van) software
</v>
      </c>
    </row>
    <row r="16" spans="1:6" x14ac:dyDescent="0.3">
      <c r="B16" s="57" t="s">
        <v>69</v>
      </c>
      <c r="C16" s="57" t="s">
        <v>70</v>
      </c>
      <c r="D16" s="5">
        <f t="array" ref="D16">MIN(IF(Beheersingsniveaus!$A$4:$A$153=KerntakenEnWerkprocessen!$B16,Beheersingsniveaus!$B$4:$B$153))</f>
        <v>4</v>
      </c>
      <c r="E16" s="5">
        <f t="array" ref="E16">MAX(IF(Beheersingsniveaus!$A$4:$A$153=KerntakenEnWerkprocessen!$B16,Beheersingsniveaus!$B$4:$B$153))</f>
        <v>4</v>
      </c>
      <c r="F16" s="5" t="str">
        <f t="shared" si="0"/>
        <v xml:space="preserve">B1-K1-W1 Plant werkzaamheden en bewaakt de voortgang
B1-K1-W2 Ontwerpt software
B1-K1-W3 Realiseert (onderdelen van) software
B1-K1-W4 Test software
</v>
      </c>
    </row>
    <row r="17" spans="1:6" x14ac:dyDescent="0.3">
      <c r="B17" s="57" t="s">
        <v>71</v>
      </c>
      <c r="C17" s="57" t="s">
        <v>72</v>
      </c>
      <c r="D17" s="5">
        <f t="array" ref="D17">MIN(IF(Beheersingsniveaus!$A$4:$A$153=KerntakenEnWerkprocessen!$B17,Beheersingsniveaus!$B$4:$B$153))</f>
        <v>5</v>
      </c>
      <c r="E17" s="5">
        <f t="array" ref="E17">MAX(IF(Beheersingsniveaus!$A$4:$A$153=KerntakenEnWerkprocessen!$B17,Beheersingsniveaus!$B$4:$B$153))</f>
        <v>6</v>
      </c>
      <c r="F17" s="5" t="str">
        <f t="shared" si="0"/>
        <v xml:space="preserve">B1-K1-W1 Plant werkzaamheden en bewaakt de voortgang
B1-K1-W2 Ontwerpt software
B1-K1-W3 Realiseert (onderdelen van) software
B1-K1-W4 Test software
B1-K1-W5 Doet verbetervoorstellen voor de software
</v>
      </c>
    </row>
    <row r="18" spans="1:6" x14ac:dyDescent="0.3">
      <c r="B18" s="2"/>
      <c r="C18" s="2"/>
      <c r="D18" s="5">
        <f t="array" ref="D18">MIN(IF(Beheersingsniveaus!$A$4:$A$153=KerntakenEnWerkprocessen!$B18,Beheersingsniveaus!$B$4:$B$153))</f>
        <v>0</v>
      </c>
      <c r="E18" s="5">
        <f t="array" ref="E18">MAX(IF(Beheersingsniveaus!$A$4:$A$153=KerntakenEnWerkprocessen!$B18,Beheersingsniveaus!$B$4:$B$153))</f>
        <v>0</v>
      </c>
      <c r="F18" s="5" t="str">
        <f t="shared" si="0"/>
        <v xml:space="preserve">B1-K1-W1 Plant werkzaamheden en bewaakt de voortgang
B1-K1-W2 Ontwerpt software
B1-K1-W3 Realiseert (onderdelen van) software
B1-K1-W4 Test software
B1-K1-W5 Doet verbetervoorstellen voor de software
</v>
      </c>
    </row>
    <row r="19" spans="1:6" x14ac:dyDescent="0.3">
      <c r="B19" s="2"/>
      <c r="C19" s="2"/>
      <c r="D19" s="5">
        <f t="array" ref="D19">MIN(IF(Beheersingsniveaus!$A$4:$A$153=KerntakenEnWerkprocessen!$B19,Beheersingsniveaus!$B$4:$B$153))</f>
        <v>0</v>
      </c>
      <c r="E19" s="5">
        <f t="array" ref="E19">MAX(IF(Beheersingsniveaus!$A$4:$A$153=KerntakenEnWerkprocessen!$B19,Beheersingsniveaus!$B$4:$B$153))</f>
        <v>0</v>
      </c>
      <c r="F19" s="5" t="str">
        <f t="shared" si="0"/>
        <v xml:space="preserve">B1-K1-W1 Plant werkzaamheden en bewaakt de voortgang
B1-K1-W2 Ontwerpt software
B1-K1-W3 Realiseert (onderdelen van) software
B1-K1-W4 Test software
B1-K1-W5 Doet verbetervoorstellen voor de software
</v>
      </c>
    </row>
    <row r="20" spans="1:6" x14ac:dyDescent="0.3">
      <c r="B20" s="2"/>
      <c r="C20" s="2"/>
      <c r="D20" s="5">
        <f t="array" ref="D20">MIN(IF(Beheersingsniveaus!$A$4:$A$153=KerntakenEnWerkprocessen!$B20,Beheersingsniveaus!$B$4:$B$153))</f>
        <v>0</v>
      </c>
      <c r="E20" s="5">
        <f t="array" ref="E20">MAX(IF(Beheersingsniveaus!$A$4:$A$153=KerntakenEnWerkprocessen!$B20,Beheersingsniveaus!$B$4:$B$153))</f>
        <v>0</v>
      </c>
      <c r="F20" s="5" t="str">
        <f t="shared" si="0"/>
        <v xml:space="preserve">B1-K1-W1 Plant werkzaamheden en bewaakt de voortgang
B1-K1-W2 Ontwerpt software
B1-K1-W3 Realiseert (onderdelen van) software
B1-K1-W4 Test software
B1-K1-W5 Doet verbetervoorstellen voor de software
</v>
      </c>
    </row>
    <row r="21" spans="1:6" x14ac:dyDescent="0.3">
      <c r="B21" s="2"/>
      <c r="C21" s="2"/>
      <c r="D21" s="5">
        <f t="array" ref="D21">MIN(IF(Beheersingsniveaus!$A$4:$A$153=KerntakenEnWerkprocessen!$B21,Beheersingsniveaus!$B$4:$B$153))</f>
        <v>0</v>
      </c>
      <c r="E21" s="5">
        <f t="array" ref="E21">MAX(IF(Beheersingsniveaus!$A$4:$A$153=KerntakenEnWerkprocessen!$B21,Beheersingsniveaus!$B$4:$B$153))</f>
        <v>0</v>
      </c>
      <c r="F21" s="5" t="str">
        <f t="shared" si="0"/>
        <v xml:space="preserve">B1-K1-W1 Plant werkzaamheden en bewaakt de voortgang
B1-K1-W2 Ontwerpt software
B1-K1-W3 Realiseert (onderdelen van) software
B1-K1-W4 Test software
B1-K1-W5 Doet verbetervoorstellen voor de software
</v>
      </c>
    </row>
    <row r="22" spans="1:6" x14ac:dyDescent="0.3">
      <c r="B22" s="2"/>
      <c r="C22" s="2"/>
      <c r="D22" s="5">
        <f t="array" ref="D22">MIN(IF(Beheersingsniveaus!$A$4:$A$153=KerntakenEnWerkprocessen!$B22,Beheersingsniveaus!$B$4:$B$153))</f>
        <v>0</v>
      </c>
      <c r="E22" s="5">
        <f t="array" ref="E22">MAX(IF(Beheersingsniveaus!$A$4:$A$153=KerntakenEnWerkprocessen!$B22,Beheersingsniveaus!$B$4:$B$153))</f>
        <v>0</v>
      </c>
      <c r="F22" s="5" t="str">
        <f t="shared" si="0"/>
        <v xml:space="preserve">B1-K1-W1 Plant werkzaamheden en bewaakt de voortgang
B1-K1-W2 Ontwerpt software
B1-K1-W3 Realiseert (onderdelen van) software
B1-K1-W4 Test software
B1-K1-W5 Doet verbetervoorstellen voor de software
</v>
      </c>
    </row>
    <row r="23" spans="1:6" x14ac:dyDescent="0.3">
      <c r="B23" s="2"/>
      <c r="C23" s="2"/>
      <c r="D23" s="5">
        <f t="array" ref="D23">MIN(IF(Beheersingsniveaus!$A$4:$A$153=KerntakenEnWerkprocessen!$B23,Beheersingsniveaus!$B$4:$B$153))</f>
        <v>0</v>
      </c>
      <c r="E23" s="5">
        <f t="array" ref="E23">MAX(IF(Beheersingsniveaus!$A$4:$A$153=KerntakenEnWerkprocessen!$B23,Beheersingsniveaus!$B$4:$B$153))</f>
        <v>0</v>
      </c>
      <c r="F23" s="5" t="str">
        <f t="shared" ref="F23:F27" si="1">F22&amp;B23&amp;" "&amp;C23&amp;CHAR(10)</f>
        <v xml:space="preserve">B1-K1-W1 Plant werkzaamheden en bewaakt de voortgang
B1-K1-W2 Ontwerpt software
B1-K1-W3 Realiseert (onderdelen van) software
B1-K1-W4 Test software
B1-K1-W5 Doet verbetervoorstellen voor de software
</v>
      </c>
    </row>
    <row r="24" spans="1:6" x14ac:dyDescent="0.3">
      <c r="B24" s="2"/>
      <c r="C24" s="2"/>
      <c r="D24" s="5">
        <f t="array" ref="D24">MIN(IF(Beheersingsniveaus!$A$4:$A$153=KerntakenEnWerkprocessen!$B24,Beheersingsniveaus!$B$4:$B$153))</f>
        <v>0</v>
      </c>
      <c r="E24" s="5">
        <f t="array" ref="E24">MAX(IF(Beheersingsniveaus!$A$4:$A$153=KerntakenEnWerkprocessen!$B24,Beheersingsniveaus!$B$4:$B$153))</f>
        <v>0</v>
      </c>
      <c r="F24" s="5" t="str">
        <f t="shared" si="1"/>
        <v xml:space="preserve">B1-K1-W1 Plant werkzaamheden en bewaakt de voortgang
B1-K1-W2 Ontwerpt software
B1-K1-W3 Realiseert (onderdelen van) software
B1-K1-W4 Test software
B1-K1-W5 Doet verbetervoorstellen voor de software
</v>
      </c>
    </row>
    <row r="25" spans="1:6" x14ac:dyDescent="0.3">
      <c r="B25" s="2"/>
      <c r="C25" s="2"/>
      <c r="D25" s="5">
        <f t="array" ref="D25">MIN(IF(Beheersingsniveaus!$A$4:$A$153=KerntakenEnWerkprocessen!$B25,Beheersingsniveaus!$B$4:$B$153))</f>
        <v>0</v>
      </c>
      <c r="E25" s="5">
        <f t="array" ref="E25">MAX(IF(Beheersingsniveaus!$A$4:$A$153=KerntakenEnWerkprocessen!$B25,Beheersingsniveaus!$B$4:$B$153))</f>
        <v>0</v>
      </c>
      <c r="F25" s="5" t="str">
        <f t="shared" si="1"/>
        <v xml:space="preserve">B1-K1-W1 Plant werkzaamheden en bewaakt de voortgang
B1-K1-W2 Ontwerpt software
B1-K1-W3 Realiseert (onderdelen van) software
B1-K1-W4 Test software
B1-K1-W5 Doet verbetervoorstellen voor de software
</v>
      </c>
    </row>
    <row r="26" spans="1:6" x14ac:dyDescent="0.3">
      <c r="B26" s="2"/>
      <c r="C26" s="2"/>
      <c r="D26" s="5">
        <f t="array" ref="D26">MIN(IF(Beheersingsniveaus!$A$4:$A$153=KerntakenEnWerkprocessen!$B26,Beheersingsniveaus!$B$4:$B$153))</f>
        <v>0</v>
      </c>
      <c r="E26" s="5">
        <f t="array" ref="E26">MAX(IF(Beheersingsniveaus!$A$4:$A$153=KerntakenEnWerkprocessen!$B26,Beheersingsniveaus!$B$4:$B$153))</f>
        <v>0</v>
      </c>
      <c r="F26" s="5" t="str">
        <f t="shared" si="1"/>
        <v xml:space="preserve">B1-K1-W1 Plant werkzaamheden en bewaakt de voortgang
B1-K1-W2 Ontwerpt software
B1-K1-W3 Realiseert (onderdelen van) software
B1-K1-W4 Test software
B1-K1-W5 Doet verbetervoorstellen voor de software
</v>
      </c>
    </row>
    <row r="27" spans="1:6" x14ac:dyDescent="0.3">
      <c r="B27" s="2"/>
      <c r="C27" s="2"/>
      <c r="D27" s="5">
        <f t="array" ref="D27">MIN(IF(Beheersingsniveaus!$A$4:$A$153=KerntakenEnWerkprocessen!$B27,Beheersingsniveaus!$B$4:$B$153))</f>
        <v>0</v>
      </c>
      <c r="E27" s="5">
        <f t="array" ref="E27">MAX(IF(Beheersingsniveaus!$A$4:$A$153=KerntakenEnWerkprocessen!$B27,Beheersingsniveaus!$B$4:$B$153))</f>
        <v>0</v>
      </c>
      <c r="F27" s="5" t="str">
        <f t="shared" si="1"/>
        <v xml:space="preserve">B1-K1-W1 Plant werkzaamheden en bewaakt de voortgang
B1-K1-W2 Ontwerpt software
B1-K1-W3 Realiseert (onderdelen van) software
B1-K1-W4 Test software
B1-K1-W5 Doet verbetervoorstellen voor de software
</v>
      </c>
    </row>
    <row r="29" spans="1:6" x14ac:dyDescent="0.3">
      <c r="A29" s="39" t="s">
        <v>73</v>
      </c>
      <c r="D29" t="b">
        <v>0</v>
      </c>
    </row>
  </sheetData>
  <mergeCells count="1">
    <mergeCell ref="B4:C4"/>
  </mergeCells>
  <conditionalFormatting sqref="B13:B27">
    <cfRule type="duplicateValues" dxfId="31" priority="2"/>
  </conditionalFormatting>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Check Box 1">
              <controlPr defaultSize="0" autoFill="0" autoLine="0" autoPict="0">
                <anchor moveWithCells="1">
                  <from>
                    <xdr:col>1</xdr:col>
                    <xdr:colOff>152400</xdr:colOff>
                    <xdr:row>28</xdr:row>
                    <xdr:rowOff>0</xdr:rowOff>
                  </from>
                  <to>
                    <xdr:col>1</xdr:col>
                    <xdr:colOff>1074420</xdr:colOff>
                    <xdr:row>29</xdr:row>
                    <xdr:rowOff>22860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Blad3">
    <tabColor theme="4" tint="0.39997558519241921"/>
  </sheetPr>
  <dimension ref="A1:K154"/>
  <sheetViews>
    <sheetView zoomScale="85" zoomScaleNormal="85" workbookViewId="0">
      <pane ySplit="3" topLeftCell="A4" activePane="bottomLeft" state="frozen"/>
      <selection activeCell="B35" sqref="B35"/>
      <selection pane="bottomLeft" activeCell="G15" sqref="G15"/>
    </sheetView>
  </sheetViews>
  <sheetFormatPr defaultRowHeight="14.4" x14ac:dyDescent="0.3"/>
  <cols>
    <col min="1" max="1" width="26.5546875" customWidth="1"/>
    <col min="2" max="2" width="18.5546875" customWidth="1"/>
    <col min="3" max="3" width="18.5546875" hidden="1" customWidth="1"/>
    <col min="4" max="4" width="19.5546875" hidden="1" customWidth="1"/>
    <col min="5" max="5" width="8.21875" customWidth="1"/>
    <col min="6" max="6" width="17.21875" customWidth="1"/>
    <col min="7" max="7" width="19.77734375" customWidth="1"/>
    <col min="8" max="10" width="21.77734375" customWidth="1"/>
    <col min="11" max="11" width="8.21875" bestFit="1" customWidth="1"/>
  </cols>
  <sheetData>
    <row r="1" spans="1:11" ht="30" customHeight="1" x14ac:dyDescent="0.3">
      <c r="A1" s="1" t="s">
        <v>74</v>
      </c>
    </row>
    <row r="2" spans="1:11" ht="15" customHeight="1" x14ac:dyDescent="0.3">
      <c r="A2" s="1"/>
    </row>
    <row r="3" spans="1:11" x14ac:dyDescent="0.3">
      <c r="A3" s="3" t="s">
        <v>75</v>
      </c>
      <c r="B3" s="3" t="s">
        <v>76</v>
      </c>
      <c r="C3" s="7" t="s">
        <v>77</v>
      </c>
      <c r="D3" s="7" t="s">
        <v>78</v>
      </c>
      <c r="E3" s="3" t="s">
        <v>79</v>
      </c>
      <c r="F3" s="3" t="s">
        <v>80</v>
      </c>
      <c r="G3" s="3" t="s">
        <v>81</v>
      </c>
      <c r="H3" s="3" t="s">
        <v>82</v>
      </c>
      <c r="I3" s="3" t="s">
        <v>83</v>
      </c>
      <c r="J3" s="3" t="s">
        <v>84</v>
      </c>
      <c r="K3" s="3" t="s">
        <v>85</v>
      </c>
    </row>
    <row r="4" spans="1:11" ht="293.25" customHeight="1" x14ac:dyDescent="0.3">
      <c r="A4" s="40" t="s">
        <v>63</v>
      </c>
      <c r="B4" s="41">
        <v>1</v>
      </c>
      <c r="C4" s="43" t="str">
        <f>IF(A4&lt;&gt;"",CONCATENATE(A4,"-",B4),"")</f>
        <v>B1-K1-W1-1</v>
      </c>
      <c r="D4" s="44" t="str">
        <f>IF(C4&lt;&gt;"",CONCATENATE(C4,"-","1"),"")</f>
        <v>B1-K1-W1-1-1</v>
      </c>
      <c r="E4" s="31" t="s">
        <v>86</v>
      </c>
      <c r="F4" s="31" t="s">
        <v>87</v>
      </c>
      <c r="G4" s="57" t="s">
        <v>88</v>
      </c>
      <c r="H4" s="45" t="s">
        <v>89</v>
      </c>
      <c r="I4" s="31" t="s">
        <v>90</v>
      </c>
      <c r="J4" s="31" t="s">
        <v>91</v>
      </c>
      <c r="K4" s="42"/>
    </row>
    <row r="5" spans="1:11" ht="293.25" customHeight="1" x14ac:dyDescent="0.3">
      <c r="A5" s="40" t="s">
        <v>63</v>
      </c>
      <c r="B5" s="41">
        <v>1</v>
      </c>
      <c r="C5" s="43" t="str">
        <f t="shared" ref="C5:C67" si="0">IF(A5&lt;&gt;"",CONCATENATE(A5,"-",B5),"")</f>
        <v>B1-K1-W1-1</v>
      </c>
      <c r="D5" s="44" t="str">
        <f>IF(C5&lt;&gt;"",CONCATENATE(C5,"-",COUNTIF($C$4:C5,C5),""),"")</f>
        <v>B1-K1-W1-1-2</v>
      </c>
      <c r="E5" s="31" t="s">
        <v>86</v>
      </c>
      <c r="F5" s="31" t="s">
        <v>92</v>
      </c>
      <c r="G5" s="31" t="s">
        <v>93</v>
      </c>
      <c r="H5" s="31" t="s">
        <v>89</v>
      </c>
      <c r="I5" s="31" t="s">
        <v>90</v>
      </c>
      <c r="J5" s="57" t="s">
        <v>91</v>
      </c>
      <c r="K5" s="42"/>
    </row>
    <row r="6" spans="1:11" ht="293.25" customHeight="1" x14ac:dyDescent="0.3">
      <c r="A6" s="40" t="s">
        <v>63</v>
      </c>
      <c r="B6" s="41">
        <v>1</v>
      </c>
      <c r="C6" s="43" t="str">
        <f t="shared" si="0"/>
        <v>B1-K1-W1-1</v>
      </c>
      <c r="D6" s="44" t="str">
        <f>IF(C6&lt;&gt;"",CONCATENATE(C6,"-",COUNTIF($C$4:C6,C6),""),"")</f>
        <v>B1-K1-W1-1-3</v>
      </c>
      <c r="E6" s="31" t="s">
        <v>86</v>
      </c>
      <c r="F6" s="31" t="s">
        <v>94</v>
      </c>
      <c r="G6" s="31" t="s">
        <v>95</v>
      </c>
      <c r="H6" s="31" t="s">
        <v>89</v>
      </c>
      <c r="I6" s="31" t="s">
        <v>90</v>
      </c>
      <c r="J6" s="31" t="s">
        <v>91</v>
      </c>
      <c r="K6" s="42"/>
    </row>
    <row r="7" spans="1:11" ht="293.25" customHeight="1" x14ac:dyDescent="0.3">
      <c r="A7" s="40" t="s">
        <v>63</v>
      </c>
      <c r="B7" s="41">
        <v>1</v>
      </c>
      <c r="C7" s="43" t="str">
        <f t="shared" si="0"/>
        <v>B1-K1-W1-1</v>
      </c>
      <c r="D7" s="44" t="str">
        <f>IF(C7&lt;&gt;"",CONCATENATE(C7,"-",COUNTIF($C$4:C7,C7),""),"")</f>
        <v>B1-K1-W1-1-4</v>
      </c>
      <c r="E7" s="31" t="s">
        <v>86</v>
      </c>
      <c r="F7" s="31" t="s">
        <v>96</v>
      </c>
      <c r="G7" s="31" t="s">
        <v>97</v>
      </c>
      <c r="H7" s="31" t="s">
        <v>98</v>
      </c>
      <c r="I7" s="31" t="s">
        <v>90</v>
      </c>
      <c r="J7" s="31" t="s">
        <v>91</v>
      </c>
      <c r="K7" s="42"/>
    </row>
    <row r="8" spans="1:11" ht="293.25" customHeight="1" x14ac:dyDescent="0.3">
      <c r="A8" s="40" t="s">
        <v>65</v>
      </c>
      <c r="B8" s="41">
        <v>2</v>
      </c>
      <c r="C8" s="43" t="str">
        <f t="shared" si="0"/>
        <v>B1-K1-W2-2</v>
      </c>
      <c r="D8" s="44" t="str">
        <f>IF(C8&lt;&gt;"",CONCATENATE(C8,"-",COUNTIF($C$4:C8,C8),""),"")</f>
        <v>B1-K1-W2-2-1</v>
      </c>
      <c r="E8" s="31" t="s">
        <v>99</v>
      </c>
      <c r="F8" s="31" t="s">
        <v>100</v>
      </c>
      <c r="G8" s="31" t="s">
        <v>101</v>
      </c>
      <c r="H8" s="31" t="s">
        <v>98</v>
      </c>
      <c r="I8" s="31" t="s">
        <v>90</v>
      </c>
      <c r="J8" s="31" t="s">
        <v>91</v>
      </c>
      <c r="K8" s="42" t="s">
        <v>1</v>
      </c>
    </row>
    <row r="9" spans="1:11" ht="293.25" customHeight="1" x14ac:dyDescent="0.3">
      <c r="A9" s="40" t="s">
        <v>65</v>
      </c>
      <c r="B9" s="41">
        <v>2</v>
      </c>
      <c r="C9" s="43" t="str">
        <f t="shared" si="0"/>
        <v>B1-K1-W2-2</v>
      </c>
      <c r="D9" s="44" t="str">
        <f>IF(C9&lt;&gt;"",CONCATENATE(C9,"-",COUNTIF($C$4:C9,C9),""),"")</f>
        <v>B1-K1-W2-2-2</v>
      </c>
      <c r="E9" s="31" t="s">
        <v>99</v>
      </c>
      <c r="F9" s="31" t="s">
        <v>102</v>
      </c>
      <c r="G9" s="31" t="s">
        <v>103</v>
      </c>
      <c r="H9" s="31" t="s">
        <v>98</v>
      </c>
      <c r="I9" s="31" t="s">
        <v>90</v>
      </c>
      <c r="J9" s="31" t="s">
        <v>91</v>
      </c>
      <c r="K9" s="42"/>
    </row>
    <row r="10" spans="1:11" ht="293.25" customHeight="1" x14ac:dyDescent="0.3">
      <c r="A10" s="40" t="s">
        <v>65</v>
      </c>
      <c r="B10" s="41">
        <v>2</v>
      </c>
      <c r="C10" s="43" t="str">
        <f t="shared" si="0"/>
        <v>B1-K1-W2-2</v>
      </c>
      <c r="D10" s="44" t="str">
        <f>IF(C10&lt;&gt;"",CONCATENATE(C10,"-",COUNTIF($C$4:C10,C10),""),"")</f>
        <v>B1-K1-W2-2-3</v>
      </c>
      <c r="E10" s="31" t="s">
        <v>99</v>
      </c>
      <c r="F10" s="31" t="s">
        <v>104</v>
      </c>
      <c r="G10" s="31" t="s">
        <v>105</v>
      </c>
      <c r="H10" s="31" t="s">
        <v>98</v>
      </c>
      <c r="I10" s="31" t="s">
        <v>90</v>
      </c>
      <c r="J10" s="31" t="s">
        <v>91</v>
      </c>
      <c r="K10" s="42"/>
    </row>
    <row r="11" spans="1:11" ht="293.25" customHeight="1" x14ac:dyDescent="0.3">
      <c r="A11" s="40" t="s">
        <v>67</v>
      </c>
      <c r="B11" s="41">
        <v>3</v>
      </c>
      <c r="C11" s="58" t="str">
        <f t="shared" si="0"/>
        <v>B1-K1-W3-3</v>
      </c>
      <c r="D11" s="58" t="str">
        <f>IF(C11&lt;&gt;"",CONCATENATE(C11,"-",COUNTIF($C$4:C11,C11),""),"")</f>
        <v>B1-K1-W3-3-1</v>
      </c>
      <c r="E11" s="31" t="s">
        <v>106</v>
      </c>
      <c r="F11" s="31" t="s">
        <v>107</v>
      </c>
      <c r="G11" s="31" t="s">
        <v>108</v>
      </c>
      <c r="H11" s="31" t="s">
        <v>98</v>
      </c>
      <c r="I11" s="31" t="s">
        <v>90</v>
      </c>
      <c r="J11" s="31" t="s">
        <v>91</v>
      </c>
      <c r="K11" s="42" t="s">
        <v>1</v>
      </c>
    </row>
    <row r="12" spans="1:11" ht="293.25" customHeight="1" x14ac:dyDescent="0.3">
      <c r="A12" s="40" t="s">
        <v>67</v>
      </c>
      <c r="B12" s="41">
        <v>3</v>
      </c>
      <c r="C12" s="43" t="str">
        <f t="shared" si="0"/>
        <v>B1-K1-W3-3</v>
      </c>
      <c r="D12" s="44" t="str">
        <f>IF(C12&lt;&gt;"",CONCATENATE(C12,"-",COUNTIF($C$4:C12,C12),""),"")</f>
        <v>B1-K1-W3-3-2</v>
      </c>
      <c r="E12" s="31" t="s">
        <v>106</v>
      </c>
      <c r="F12" s="31" t="s">
        <v>109</v>
      </c>
      <c r="G12" s="31" t="s">
        <v>110</v>
      </c>
      <c r="H12" s="31" t="s">
        <v>98</v>
      </c>
      <c r="I12" s="31" t="s">
        <v>90</v>
      </c>
      <c r="J12" s="31" t="s">
        <v>91</v>
      </c>
      <c r="K12" s="42"/>
    </row>
    <row r="13" spans="1:11" ht="293.25" customHeight="1" x14ac:dyDescent="0.3">
      <c r="A13" s="40" t="s">
        <v>67</v>
      </c>
      <c r="B13" s="41">
        <v>3</v>
      </c>
      <c r="C13" s="43" t="str">
        <f t="shared" si="0"/>
        <v>B1-K1-W3-3</v>
      </c>
      <c r="D13" s="44" t="str">
        <f>IF(C13&lt;&gt;"",CONCATENATE(C13,"-",COUNTIF($C$4:C13,C13),""),"")</f>
        <v>B1-K1-W3-3-3</v>
      </c>
      <c r="E13" s="31" t="s">
        <v>106</v>
      </c>
      <c r="F13" s="31" t="s">
        <v>111</v>
      </c>
      <c r="G13" s="31" t="s">
        <v>112</v>
      </c>
      <c r="H13" s="31" t="s">
        <v>98</v>
      </c>
      <c r="I13" s="31" t="s">
        <v>90</v>
      </c>
      <c r="J13" s="31" t="s">
        <v>91</v>
      </c>
      <c r="K13" s="42" t="s">
        <v>1</v>
      </c>
    </row>
    <row r="14" spans="1:11" ht="293.25" customHeight="1" x14ac:dyDescent="0.3">
      <c r="A14" s="40" t="s">
        <v>67</v>
      </c>
      <c r="B14" s="41">
        <v>3</v>
      </c>
      <c r="C14" s="43" t="str">
        <f t="shared" si="0"/>
        <v>B1-K1-W3-3</v>
      </c>
      <c r="D14" s="44" t="str">
        <f>IF(C14&lt;&gt;"",CONCATENATE(C14,"-",COUNTIF($C$4:C14,C14),""),"")</f>
        <v>B1-K1-W3-3-4</v>
      </c>
      <c r="E14" s="31" t="s">
        <v>106</v>
      </c>
      <c r="F14" s="31" t="s">
        <v>113</v>
      </c>
      <c r="G14" s="31" t="s">
        <v>114</v>
      </c>
      <c r="H14" s="31" t="s">
        <v>98</v>
      </c>
      <c r="I14" s="31" t="s">
        <v>90</v>
      </c>
      <c r="J14" s="31" t="s">
        <v>91</v>
      </c>
      <c r="K14" s="42"/>
    </row>
    <row r="15" spans="1:11" ht="293.25" customHeight="1" x14ac:dyDescent="0.3">
      <c r="A15" s="40" t="s">
        <v>67</v>
      </c>
      <c r="B15" s="41">
        <v>3</v>
      </c>
      <c r="C15" s="43" t="str">
        <f t="shared" si="0"/>
        <v>B1-K1-W3-3</v>
      </c>
      <c r="D15" s="44" t="str">
        <f>IF(C15&lt;&gt;"",CONCATENATE(C15,"-",COUNTIF($C$4:C15,C15),""),"")</f>
        <v>B1-K1-W3-3-5</v>
      </c>
      <c r="E15" s="31" t="s">
        <v>106</v>
      </c>
      <c r="F15" s="31" t="s">
        <v>115</v>
      </c>
      <c r="G15" s="31" t="s">
        <v>116</v>
      </c>
      <c r="H15" s="31" t="s">
        <v>98</v>
      </c>
      <c r="I15" s="31" t="s">
        <v>90</v>
      </c>
      <c r="J15" s="31" t="s">
        <v>91</v>
      </c>
      <c r="K15" s="42"/>
    </row>
    <row r="16" spans="1:11" ht="293.25" customHeight="1" x14ac:dyDescent="0.3">
      <c r="A16" s="40" t="s">
        <v>67</v>
      </c>
      <c r="B16" s="41">
        <v>3</v>
      </c>
      <c r="C16" s="43" t="str">
        <f t="shared" si="0"/>
        <v>B1-K1-W3-3</v>
      </c>
      <c r="D16" s="44" t="str">
        <f>IF(C16&lt;&gt;"",CONCATENATE(C16,"-",COUNTIF($C$4:C16,C16),""),"")</f>
        <v>B1-K1-W3-3-6</v>
      </c>
      <c r="E16" s="31" t="s">
        <v>106</v>
      </c>
      <c r="F16" s="31" t="s">
        <v>117</v>
      </c>
      <c r="G16" s="31" t="s">
        <v>118</v>
      </c>
      <c r="H16" s="31" t="s">
        <v>98</v>
      </c>
      <c r="I16" s="31" t="s">
        <v>90</v>
      </c>
      <c r="J16" s="31" t="s">
        <v>91</v>
      </c>
      <c r="K16" s="42"/>
    </row>
    <row r="17" spans="1:11" ht="293.25" customHeight="1" x14ac:dyDescent="0.3">
      <c r="A17" s="40" t="s">
        <v>69</v>
      </c>
      <c r="B17" s="41">
        <v>4</v>
      </c>
      <c r="C17" s="43" t="str">
        <f t="shared" si="0"/>
        <v>B1-K1-W4-4</v>
      </c>
      <c r="D17" s="44" t="str">
        <f>IF(C17&lt;&gt;"",CONCATENATE(C17,"-",COUNTIF($C$4:C17,C17),""),"")</f>
        <v>B1-K1-W4-4-1</v>
      </c>
      <c r="E17" s="31" t="s">
        <v>119</v>
      </c>
      <c r="F17" s="31" t="s">
        <v>120</v>
      </c>
      <c r="G17" s="31" t="s">
        <v>121</v>
      </c>
      <c r="H17" s="31" t="s">
        <v>98</v>
      </c>
      <c r="I17" s="31" t="s">
        <v>90</v>
      </c>
      <c r="J17" s="31" t="s">
        <v>91</v>
      </c>
      <c r="K17" s="42"/>
    </row>
    <row r="18" spans="1:11" ht="293.25" customHeight="1" x14ac:dyDescent="0.3">
      <c r="A18" s="40" t="s">
        <v>69</v>
      </c>
      <c r="B18" s="41">
        <v>4</v>
      </c>
      <c r="C18" s="43" t="str">
        <f t="shared" si="0"/>
        <v>B1-K1-W4-4</v>
      </c>
      <c r="D18" s="44" t="str">
        <f>IF(C18&lt;&gt;"",CONCATENATE(C18,"-",COUNTIF($C$4:C18,C18),""),"")</f>
        <v>B1-K1-W4-4-2</v>
      </c>
      <c r="E18" s="31" t="s">
        <v>119</v>
      </c>
      <c r="F18" s="31" t="s">
        <v>122</v>
      </c>
      <c r="G18" s="31" t="s">
        <v>123</v>
      </c>
      <c r="H18" s="31" t="s">
        <v>98</v>
      </c>
      <c r="I18" s="31" t="s">
        <v>90</v>
      </c>
      <c r="J18" s="31" t="s">
        <v>91</v>
      </c>
      <c r="K18" s="42"/>
    </row>
    <row r="19" spans="1:11" ht="293.25" customHeight="1" x14ac:dyDescent="0.3">
      <c r="A19" s="40" t="s">
        <v>69</v>
      </c>
      <c r="B19" s="41">
        <v>4</v>
      </c>
      <c r="C19" s="43" t="str">
        <f t="shared" si="0"/>
        <v>B1-K1-W4-4</v>
      </c>
      <c r="D19" s="44" t="str">
        <f>IF(C19&lt;&gt;"",CONCATENATE(C19,"-",COUNTIF($C$4:C19,C19),""),"")</f>
        <v>B1-K1-W4-4-3</v>
      </c>
      <c r="E19" s="31" t="s">
        <v>119</v>
      </c>
      <c r="F19" s="31" t="s">
        <v>124</v>
      </c>
      <c r="G19" s="31" t="s">
        <v>125</v>
      </c>
      <c r="H19" s="31" t="s">
        <v>98</v>
      </c>
      <c r="I19" s="31" t="s">
        <v>90</v>
      </c>
      <c r="J19" s="31" t="s">
        <v>91</v>
      </c>
      <c r="K19" s="42"/>
    </row>
    <row r="20" spans="1:11" ht="293.25" customHeight="1" x14ac:dyDescent="0.3">
      <c r="A20" s="40" t="s">
        <v>71</v>
      </c>
      <c r="B20" s="41">
        <v>5</v>
      </c>
      <c r="C20" s="43" t="str">
        <f t="shared" si="0"/>
        <v>B1-K1-W5-5</v>
      </c>
      <c r="D20" s="44" t="str">
        <f>IF(C20&lt;&gt;"",CONCATENATE(C20,"-",COUNTIF($C$4:C20,C20),""),"")</f>
        <v>B1-K1-W5-5-1</v>
      </c>
      <c r="E20" s="31" t="s">
        <v>126</v>
      </c>
      <c r="F20" s="31" t="s">
        <v>127</v>
      </c>
      <c r="G20" s="31" t="s">
        <v>128</v>
      </c>
      <c r="H20" s="31" t="s">
        <v>98</v>
      </c>
      <c r="I20" s="31" t="s">
        <v>90</v>
      </c>
      <c r="J20" s="31" t="s">
        <v>91</v>
      </c>
      <c r="K20" s="42"/>
    </row>
    <row r="21" spans="1:11" ht="293.25" customHeight="1" x14ac:dyDescent="0.3">
      <c r="A21" s="40" t="s">
        <v>71</v>
      </c>
      <c r="B21" s="41">
        <v>5</v>
      </c>
      <c r="C21" s="43" t="str">
        <f t="shared" si="0"/>
        <v>B1-K1-W5-5</v>
      </c>
      <c r="D21" s="44" t="str">
        <f>IF(C21&lt;&gt;"",CONCATENATE(C21,"-",COUNTIF($C$4:C21,C21),""),"")</f>
        <v>B1-K1-W5-5-2</v>
      </c>
      <c r="E21" s="31" t="s">
        <v>126</v>
      </c>
      <c r="F21" s="31" t="s">
        <v>129</v>
      </c>
      <c r="G21" s="31" t="s">
        <v>130</v>
      </c>
      <c r="H21" s="31" t="s">
        <v>98</v>
      </c>
      <c r="I21" s="31" t="s">
        <v>90</v>
      </c>
      <c r="J21" s="31" t="s">
        <v>91</v>
      </c>
      <c r="K21" s="25"/>
    </row>
    <row r="22" spans="1:11" ht="293.25" customHeight="1" x14ac:dyDescent="0.3">
      <c r="A22" s="40" t="s">
        <v>71</v>
      </c>
      <c r="B22" s="41">
        <v>5</v>
      </c>
      <c r="C22" s="43" t="str">
        <f t="shared" si="0"/>
        <v>B1-K1-W5-5</v>
      </c>
      <c r="D22" s="44" t="str">
        <f>IF(C22&lt;&gt;"",CONCATENATE(C22,"-",COUNTIF($C$4:C22,C22),""),"")</f>
        <v>B1-K1-W5-5-3</v>
      </c>
      <c r="E22" s="31" t="s">
        <v>126</v>
      </c>
      <c r="F22" s="31" t="s">
        <v>131</v>
      </c>
      <c r="G22" s="31" t="s">
        <v>132</v>
      </c>
      <c r="H22" s="31" t="s">
        <v>98</v>
      </c>
      <c r="I22" s="31" t="s">
        <v>90</v>
      </c>
      <c r="J22" s="31" t="s">
        <v>91</v>
      </c>
      <c r="K22" s="25"/>
    </row>
    <row r="23" spans="1:11" ht="293.25" customHeight="1" x14ac:dyDescent="0.3">
      <c r="A23" s="40" t="s">
        <v>71</v>
      </c>
      <c r="B23" s="41">
        <v>6</v>
      </c>
      <c r="C23" s="43" t="str">
        <f t="shared" si="0"/>
        <v>B1-K1-W5-6</v>
      </c>
      <c r="D23" s="44" t="str">
        <f>IF(C23&lt;&gt;"",CONCATENATE(C23,"-",COUNTIF($C$4:C23,C23),""),"")</f>
        <v>B1-K1-W5-6-1</v>
      </c>
      <c r="E23" s="31" t="s">
        <v>133</v>
      </c>
      <c r="F23" s="31" t="s">
        <v>134</v>
      </c>
      <c r="G23" s="31" t="s">
        <v>135</v>
      </c>
      <c r="H23" s="31" t="s">
        <v>1</v>
      </c>
      <c r="I23" s="24"/>
      <c r="J23" s="24"/>
      <c r="K23" s="42" t="s">
        <v>1</v>
      </c>
    </row>
    <row r="24" spans="1:11" ht="293.25" customHeight="1" x14ac:dyDescent="0.3">
      <c r="A24" s="22"/>
      <c r="B24" s="23"/>
      <c r="C24" s="43" t="str">
        <f t="shared" si="0"/>
        <v/>
      </c>
      <c r="D24" s="44" t="str">
        <f>IF(C24&lt;&gt;"",CONCATENATE(C24,"-",COUNTIF($C$4:C24,C24),""),"")</f>
        <v/>
      </c>
      <c r="E24" s="24"/>
      <c r="F24" s="24"/>
      <c r="G24" s="24"/>
      <c r="H24" s="24"/>
      <c r="I24" s="24"/>
      <c r="J24" s="24"/>
      <c r="K24" s="25"/>
    </row>
    <row r="25" spans="1:11" ht="293.25" customHeight="1" x14ac:dyDescent="0.3">
      <c r="A25" s="22"/>
      <c r="B25" s="23"/>
      <c r="C25" s="43" t="str">
        <f t="shared" si="0"/>
        <v/>
      </c>
      <c r="D25" s="44" t="str">
        <f>IF(C25&lt;&gt;"",CONCATENATE(C25,"-",COUNTIF($C$4:C25,C25),""),"")</f>
        <v/>
      </c>
      <c r="E25" s="24"/>
      <c r="F25" s="24"/>
      <c r="G25" s="24"/>
      <c r="H25" s="24"/>
      <c r="I25" s="24"/>
      <c r="J25" s="24"/>
      <c r="K25" s="25"/>
    </row>
    <row r="26" spans="1:11" ht="293.25" customHeight="1" x14ac:dyDescent="0.3">
      <c r="A26" s="22"/>
      <c r="B26" s="23"/>
      <c r="C26" s="43" t="str">
        <f t="shared" si="0"/>
        <v/>
      </c>
      <c r="D26" s="44" t="str">
        <f>IF(C26&lt;&gt;"",CONCATENATE(C26,"-",COUNTIF($C$4:C26,C26),""),"")</f>
        <v/>
      </c>
      <c r="E26" s="24"/>
      <c r="F26" s="24"/>
      <c r="G26" s="24"/>
      <c r="H26" s="24"/>
      <c r="I26" s="24"/>
      <c r="J26" s="24"/>
      <c r="K26" s="25"/>
    </row>
    <row r="27" spans="1:11" ht="293.25" customHeight="1" x14ac:dyDescent="0.3">
      <c r="A27" s="22"/>
      <c r="B27" s="23"/>
      <c r="C27" s="43" t="str">
        <f t="shared" si="0"/>
        <v/>
      </c>
      <c r="D27" s="44" t="str">
        <f>IF(C27&lt;&gt;"",CONCATENATE(C27,"-",COUNTIF($C$4:C27,C27),""),"")</f>
        <v/>
      </c>
      <c r="E27" s="24"/>
      <c r="F27" s="24"/>
      <c r="G27" s="24"/>
      <c r="H27" s="24"/>
      <c r="I27" s="24"/>
      <c r="J27" s="24"/>
      <c r="K27" s="25"/>
    </row>
    <row r="28" spans="1:11" ht="293.25" customHeight="1" x14ac:dyDescent="0.3">
      <c r="A28" s="22"/>
      <c r="B28" s="23"/>
      <c r="C28" s="43" t="str">
        <f t="shared" si="0"/>
        <v/>
      </c>
      <c r="D28" s="44" t="str">
        <f>IF(C28&lt;&gt;"",CONCATENATE(C28,"-",COUNTIF($C$4:C28,C28),""),"")</f>
        <v/>
      </c>
      <c r="E28" s="24"/>
      <c r="F28" s="24"/>
      <c r="G28" s="24"/>
      <c r="H28" s="24"/>
      <c r="I28" s="24"/>
      <c r="J28" s="24"/>
      <c r="K28" s="25"/>
    </row>
    <row r="29" spans="1:11" ht="293.25" customHeight="1" x14ac:dyDescent="0.3">
      <c r="A29" s="22"/>
      <c r="B29" s="23"/>
      <c r="C29" s="43" t="str">
        <f t="shared" si="0"/>
        <v/>
      </c>
      <c r="D29" s="44" t="str">
        <f>IF(C29&lt;&gt;"",CONCATENATE(C29,"-",COUNTIF($C$4:C29,C29),""),"")</f>
        <v/>
      </c>
      <c r="E29" s="24"/>
      <c r="F29" s="24"/>
      <c r="G29" s="24"/>
      <c r="H29" s="24"/>
      <c r="I29" s="24"/>
      <c r="J29" s="24"/>
      <c r="K29" s="25"/>
    </row>
    <row r="30" spans="1:11" ht="293.25" customHeight="1" x14ac:dyDescent="0.3">
      <c r="A30" s="22"/>
      <c r="B30" s="23"/>
      <c r="C30" s="43" t="str">
        <f t="shared" si="0"/>
        <v/>
      </c>
      <c r="D30" s="44" t="str">
        <f>IF(C30&lt;&gt;"",CONCATENATE(C30,"-",COUNTIF($C$4:C30,C30),""),"")</f>
        <v/>
      </c>
      <c r="E30" s="24"/>
      <c r="F30" s="24"/>
      <c r="G30" s="24"/>
      <c r="H30" s="24"/>
      <c r="I30" s="24"/>
      <c r="J30" s="24"/>
      <c r="K30" s="25"/>
    </row>
    <row r="31" spans="1:11" ht="293.25" customHeight="1" x14ac:dyDescent="0.3">
      <c r="A31" s="22"/>
      <c r="B31" s="23"/>
      <c r="C31" s="43" t="str">
        <f t="shared" si="0"/>
        <v/>
      </c>
      <c r="D31" s="44" t="str">
        <f>IF(C31&lt;&gt;"",CONCATENATE(C31,"-",COUNTIF($C$4:C31,C31),""),"")</f>
        <v/>
      </c>
      <c r="E31" s="24"/>
      <c r="F31" s="24"/>
      <c r="G31" s="24"/>
      <c r="H31" s="24"/>
      <c r="I31" s="24"/>
      <c r="J31" s="24"/>
      <c r="K31" s="25"/>
    </row>
    <row r="32" spans="1:11" ht="293.25" customHeight="1" x14ac:dyDescent="0.3">
      <c r="A32" s="22"/>
      <c r="B32" s="23"/>
      <c r="C32" s="43" t="str">
        <f t="shared" si="0"/>
        <v/>
      </c>
      <c r="D32" s="44" t="str">
        <f>IF(C32&lt;&gt;"",CONCATENATE(C32,"-",COUNTIF($C$4:C32,C32),""),"")</f>
        <v/>
      </c>
      <c r="E32" s="24"/>
      <c r="F32" s="24"/>
      <c r="G32" s="24"/>
      <c r="H32" s="24"/>
      <c r="I32" s="24"/>
      <c r="J32" s="24"/>
      <c r="K32" s="25"/>
    </row>
    <row r="33" spans="1:11" ht="293.25" customHeight="1" x14ac:dyDescent="0.3">
      <c r="A33" s="22"/>
      <c r="B33" s="23"/>
      <c r="C33" s="43" t="str">
        <f t="shared" si="0"/>
        <v/>
      </c>
      <c r="D33" s="44" t="str">
        <f>IF(C33&lt;&gt;"",CONCATENATE(C33,"-",COUNTIF($C$4:C33,C33),""),"")</f>
        <v/>
      </c>
      <c r="E33" s="24"/>
      <c r="F33" s="24"/>
      <c r="G33" s="24"/>
      <c r="H33" s="24"/>
      <c r="I33" s="24"/>
      <c r="J33" s="24"/>
      <c r="K33" s="25"/>
    </row>
    <row r="34" spans="1:11" ht="293.25" customHeight="1" x14ac:dyDescent="0.3">
      <c r="A34" s="22"/>
      <c r="B34" s="23"/>
      <c r="C34" s="43" t="str">
        <f t="shared" si="0"/>
        <v/>
      </c>
      <c r="D34" s="44" t="str">
        <f>IF(C34&lt;&gt;"",CONCATENATE(C34,"-",COUNTIF($C$4:C34,C34),""),"")</f>
        <v/>
      </c>
      <c r="E34" s="24"/>
      <c r="F34" s="24"/>
      <c r="G34" s="24"/>
      <c r="H34" s="24"/>
      <c r="I34" s="24"/>
      <c r="J34" s="24"/>
      <c r="K34" s="25"/>
    </row>
    <row r="35" spans="1:11" ht="293.25" customHeight="1" x14ac:dyDescent="0.3">
      <c r="A35" s="22"/>
      <c r="B35" s="23"/>
      <c r="C35" s="43" t="str">
        <f t="shared" si="0"/>
        <v/>
      </c>
      <c r="D35" s="44" t="str">
        <f>IF(C35&lt;&gt;"",CONCATENATE(C35,"-",COUNTIF($C$4:C35,C35),""),"")</f>
        <v/>
      </c>
      <c r="E35" s="24"/>
      <c r="F35" s="24"/>
      <c r="G35" s="24"/>
      <c r="H35" s="24"/>
      <c r="I35" s="24"/>
      <c r="J35" s="24"/>
      <c r="K35" s="25"/>
    </row>
    <row r="36" spans="1:11" ht="293.25" customHeight="1" x14ac:dyDescent="0.3">
      <c r="A36" s="40"/>
      <c r="B36" s="41"/>
      <c r="C36" s="43" t="str">
        <f t="shared" si="0"/>
        <v/>
      </c>
      <c r="D36" s="44" t="str">
        <f>IF(C36&lt;&gt;"",CONCATENATE(C36,"-",COUNTIF($C$4:C36,C36),""),"")</f>
        <v/>
      </c>
      <c r="E36" s="31"/>
      <c r="F36" s="31"/>
      <c r="G36" s="31"/>
      <c r="H36" s="31"/>
      <c r="I36" s="24"/>
      <c r="J36" s="24"/>
      <c r="K36" s="42"/>
    </row>
    <row r="37" spans="1:11" ht="293.25" customHeight="1" x14ac:dyDescent="0.3">
      <c r="A37" s="22"/>
      <c r="B37" s="23"/>
      <c r="C37" s="43" t="str">
        <f t="shared" si="0"/>
        <v/>
      </c>
      <c r="D37" s="44" t="str">
        <f>IF(C37&lt;&gt;"",CONCATENATE(C37,"-",COUNTIF($C$4:C37,C37),""),"")</f>
        <v/>
      </c>
      <c r="E37" s="24"/>
      <c r="F37" s="24"/>
      <c r="G37" s="24"/>
      <c r="H37" s="24"/>
      <c r="I37" s="24"/>
      <c r="J37" s="24"/>
      <c r="K37" s="25"/>
    </row>
    <row r="38" spans="1:11" ht="293.25" customHeight="1" x14ac:dyDescent="0.3">
      <c r="A38" s="22"/>
      <c r="B38" s="23"/>
      <c r="C38" s="43" t="str">
        <f t="shared" si="0"/>
        <v/>
      </c>
      <c r="D38" s="44" t="str">
        <f>IF(C38&lt;&gt;"",CONCATENATE(C38,"-",COUNTIF($C$4:C38,C38),""),"")</f>
        <v/>
      </c>
      <c r="E38" s="24"/>
      <c r="F38" s="24"/>
      <c r="G38" s="24"/>
      <c r="H38" s="24"/>
      <c r="I38" s="24"/>
      <c r="J38" s="24"/>
      <c r="K38" s="25"/>
    </row>
    <row r="39" spans="1:11" ht="293.25" customHeight="1" x14ac:dyDescent="0.3">
      <c r="A39" s="22"/>
      <c r="B39" s="23"/>
      <c r="C39" s="43" t="str">
        <f t="shared" si="0"/>
        <v/>
      </c>
      <c r="D39" s="44" t="str">
        <f>IF(C39&lt;&gt;"",CONCATENATE(C39,"-",COUNTIF($C$4:C39,C39),""),"")</f>
        <v/>
      </c>
      <c r="E39" s="24"/>
      <c r="F39" s="24"/>
      <c r="G39" s="24"/>
      <c r="H39" s="24"/>
      <c r="I39" s="24"/>
      <c r="J39" s="24"/>
      <c r="K39" s="25"/>
    </row>
    <row r="40" spans="1:11" ht="293.25" customHeight="1" x14ac:dyDescent="0.3">
      <c r="A40" s="22"/>
      <c r="B40" s="23"/>
      <c r="C40" s="43" t="str">
        <f t="shared" si="0"/>
        <v/>
      </c>
      <c r="D40" s="44" t="str">
        <f>IF(C40&lt;&gt;"",CONCATENATE(C40,"-",COUNTIF($C$4:C40,C40),""),"")</f>
        <v/>
      </c>
      <c r="E40" s="24"/>
      <c r="F40" s="24"/>
      <c r="G40" s="24"/>
      <c r="H40" s="24"/>
      <c r="I40" s="24"/>
      <c r="J40" s="24"/>
      <c r="K40" s="25"/>
    </row>
    <row r="41" spans="1:11" ht="293.25" customHeight="1" x14ac:dyDescent="0.3">
      <c r="A41" s="22"/>
      <c r="B41" s="23"/>
      <c r="C41" s="43" t="str">
        <f t="shared" si="0"/>
        <v/>
      </c>
      <c r="D41" s="44" t="str">
        <f>IF(C41&lt;&gt;"",CONCATENATE(C41,"-",COUNTIF($C$4:C41,C41),""),"")</f>
        <v/>
      </c>
      <c r="E41" s="24"/>
      <c r="F41" s="24"/>
      <c r="G41" s="24"/>
      <c r="H41" s="24"/>
      <c r="I41" s="24"/>
      <c r="J41" s="24"/>
      <c r="K41" s="25"/>
    </row>
    <row r="42" spans="1:11" ht="293.25" customHeight="1" x14ac:dyDescent="0.3">
      <c r="A42" s="22"/>
      <c r="B42" s="23"/>
      <c r="C42" s="43" t="str">
        <f t="shared" si="0"/>
        <v/>
      </c>
      <c r="D42" s="44" t="str">
        <f>IF(C42&lt;&gt;"",CONCATENATE(C42,"-",COUNTIF($C$4:C42,C42),""),"")</f>
        <v/>
      </c>
      <c r="E42" s="24"/>
      <c r="F42" s="24"/>
      <c r="G42" s="24"/>
      <c r="H42" s="24"/>
      <c r="I42" s="24"/>
      <c r="J42" s="24"/>
      <c r="K42" s="25"/>
    </row>
    <row r="43" spans="1:11" ht="293.25" customHeight="1" x14ac:dyDescent="0.3">
      <c r="A43" s="22"/>
      <c r="B43" s="23"/>
      <c r="C43" s="43" t="str">
        <f t="shared" si="0"/>
        <v/>
      </c>
      <c r="D43" s="44" t="str">
        <f>IF(C43&lt;&gt;"",CONCATENATE(C43,"-",COUNTIF($C$4:C43,C43),""),"")</f>
        <v/>
      </c>
      <c r="E43" s="24"/>
      <c r="F43" s="24"/>
      <c r="G43" s="24"/>
      <c r="H43" s="24"/>
      <c r="I43" s="24"/>
      <c r="J43" s="24"/>
      <c r="K43" s="25"/>
    </row>
    <row r="44" spans="1:11" ht="293.25" customHeight="1" x14ac:dyDescent="0.3">
      <c r="A44" s="22"/>
      <c r="B44" s="23"/>
      <c r="C44" s="43" t="str">
        <f t="shared" si="0"/>
        <v/>
      </c>
      <c r="D44" s="44" t="str">
        <f>IF(C44&lt;&gt;"",CONCATENATE(C44,"-",COUNTIF($C$4:C44,C44),""),"")</f>
        <v/>
      </c>
      <c r="E44" s="24"/>
      <c r="F44" s="24"/>
      <c r="G44" s="24"/>
      <c r="H44" s="24"/>
      <c r="I44" s="24"/>
      <c r="J44" s="24"/>
      <c r="K44" s="25"/>
    </row>
    <row r="45" spans="1:11" ht="293.25" customHeight="1" x14ac:dyDescent="0.3">
      <c r="A45" s="22"/>
      <c r="B45" s="23"/>
      <c r="C45" s="43" t="str">
        <f t="shared" si="0"/>
        <v/>
      </c>
      <c r="D45" s="44" t="str">
        <f>IF(C45&lt;&gt;"",CONCATENATE(C45,"-",COUNTIF($C$4:C45,C45),""),"")</f>
        <v/>
      </c>
      <c r="E45" s="24"/>
      <c r="F45" s="24"/>
      <c r="G45" s="24"/>
      <c r="H45" s="24"/>
      <c r="I45" s="24"/>
      <c r="J45" s="24"/>
      <c r="K45" s="25"/>
    </row>
    <row r="46" spans="1:11" ht="293.25" customHeight="1" x14ac:dyDescent="0.3">
      <c r="A46" s="22"/>
      <c r="B46" s="23"/>
      <c r="C46" s="43" t="str">
        <f t="shared" si="0"/>
        <v/>
      </c>
      <c r="D46" s="44" t="str">
        <f>IF(C46&lt;&gt;"",CONCATENATE(C46,"-",COUNTIF($C$4:C46,C46),""),"")</f>
        <v/>
      </c>
      <c r="E46" s="24"/>
      <c r="F46" s="24"/>
      <c r="G46" s="24"/>
      <c r="H46" s="24"/>
      <c r="I46" s="24"/>
      <c r="J46" s="24"/>
      <c r="K46" s="25"/>
    </row>
    <row r="47" spans="1:11" ht="293.25" customHeight="1" x14ac:dyDescent="0.3">
      <c r="A47" s="22"/>
      <c r="B47" s="23"/>
      <c r="C47" s="43" t="str">
        <f t="shared" si="0"/>
        <v/>
      </c>
      <c r="D47" s="44" t="str">
        <f>IF(C47&lt;&gt;"",CONCATENATE(C47,"-",COUNTIF($C$4:C47,C47),""),"")</f>
        <v/>
      </c>
      <c r="E47" s="24"/>
      <c r="F47" s="24"/>
      <c r="G47" s="24"/>
      <c r="H47" s="24"/>
      <c r="I47" s="24"/>
      <c r="J47" s="24"/>
      <c r="K47" s="25"/>
    </row>
    <row r="48" spans="1:11" ht="293.25" customHeight="1" x14ac:dyDescent="0.3">
      <c r="A48" s="22"/>
      <c r="B48" s="23"/>
      <c r="C48" s="43" t="str">
        <f t="shared" si="0"/>
        <v/>
      </c>
      <c r="D48" s="44" t="str">
        <f>IF(C48&lt;&gt;"",CONCATENATE(C48,"-",COUNTIF($C$4:C48,C48),""),"")</f>
        <v/>
      </c>
      <c r="E48" s="24"/>
      <c r="F48" s="24"/>
      <c r="G48" s="24"/>
      <c r="H48" s="24"/>
      <c r="I48" s="24"/>
      <c r="J48" s="24"/>
      <c r="K48" s="25"/>
    </row>
    <row r="49" spans="1:11" ht="293.25" customHeight="1" x14ac:dyDescent="0.3">
      <c r="A49" s="22"/>
      <c r="B49" s="23"/>
      <c r="C49" s="43" t="str">
        <f t="shared" si="0"/>
        <v/>
      </c>
      <c r="D49" s="44" t="str">
        <f>IF(C49&lt;&gt;"",CONCATENATE(C49,"-",COUNTIF($C$4:C49,C49),""),"")</f>
        <v/>
      </c>
      <c r="E49" s="24"/>
      <c r="F49" s="24"/>
      <c r="G49" s="24"/>
      <c r="H49" s="24"/>
      <c r="I49" s="24"/>
      <c r="J49" s="24"/>
      <c r="K49" s="25"/>
    </row>
    <row r="50" spans="1:11" ht="293.25" customHeight="1" x14ac:dyDescent="0.3">
      <c r="A50" s="22"/>
      <c r="B50" s="23"/>
      <c r="C50" s="43" t="str">
        <f t="shared" si="0"/>
        <v/>
      </c>
      <c r="D50" s="44" t="str">
        <f>IF(C50&lt;&gt;"",CONCATENATE(C50,"-",COUNTIF($C$4:C50,C50),""),"")</f>
        <v/>
      </c>
      <c r="E50" s="24"/>
      <c r="F50" s="24"/>
      <c r="G50" s="24"/>
      <c r="H50" s="24"/>
      <c r="I50" s="24"/>
      <c r="J50" s="24"/>
      <c r="K50" s="25"/>
    </row>
    <row r="51" spans="1:11" ht="293.25" customHeight="1" x14ac:dyDescent="0.3">
      <c r="A51" s="22"/>
      <c r="B51" s="23"/>
      <c r="C51" s="43" t="str">
        <f t="shared" si="0"/>
        <v/>
      </c>
      <c r="D51" s="44" t="str">
        <f>IF(C51&lt;&gt;"",CONCATENATE(C51,"-",COUNTIF($C$4:C51,C51),""),"")</f>
        <v/>
      </c>
      <c r="E51" s="24"/>
      <c r="F51" s="24"/>
      <c r="G51" s="24"/>
      <c r="H51" s="24"/>
      <c r="I51" s="24"/>
      <c r="J51" s="24"/>
      <c r="K51" s="25"/>
    </row>
    <row r="52" spans="1:11" ht="293.25" customHeight="1" x14ac:dyDescent="0.3">
      <c r="A52" s="22"/>
      <c r="B52" s="23"/>
      <c r="C52" s="43" t="str">
        <f t="shared" si="0"/>
        <v/>
      </c>
      <c r="D52" s="44" t="str">
        <f>IF(C52&lt;&gt;"",CONCATENATE(C52,"-",COUNTIF($C$4:C52,C52),""),"")</f>
        <v/>
      </c>
      <c r="E52" s="24"/>
      <c r="F52" s="24"/>
      <c r="G52" s="24"/>
      <c r="H52" s="24"/>
      <c r="I52" s="24"/>
      <c r="J52" s="24"/>
      <c r="K52" s="25"/>
    </row>
    <row r="53" spans="1:11" ht="293.25" customHeight="1" x14ac:dyDescent="0.3">
      <c r="A53" s="22"/>
      <c r="B53" s="23"/>
      <c r="C53" s="43" t="str">
        <f t="shared" si="0"/>
        <v/>
      </c>
      <c r="D53" s="44" t="str">
        <f>IF(C53&lt;&gt;"",CONCATENATE(C53,"-",COUNTIF($C$4:C53,C53),""),"")</f>
        <v/>
      </c>
      <c r="E53" s="24"/>
      <c r="F53" s="24"/>
      <c r="G53" s="24"/>
      <c r="H53" s="24"/>
      <c r="I53" s="24"/>
      <c r="J53" s="24"/>
      <c r="K53" s="25"/>
    </row>
    <row r="54" spans="1:11" ht="293.25" customHeight="1" x14ac:dyDescent="0.3">
      <c r="A54" s="22"/>
      <c r="B54" s="23"/>
      <c r="C54" s="43" t="str">
        <f t="shared" si="0"/>
        <v/>
      </c>
      <c r="D54" s="44" t="str">
        <f>IF(C54&lt;&gt;"",CONCATENATE(C54,"-",COUNTIF($C$4:C54,C54),""),"")</f>
        <v/>
      </c>
      <c r="E54" s="24"/>
      <c r="F54" s="24"/>
      <c r="G54" s="24"/>
      <c r="H54" s="24"/>
      <c r="I54" s="24"/>
      <c r="J54" s="24"/>
      <c r="K54" s="25"/>
    </row>
    <row r="55" spans="1:11" ht="293.25" customHeight="1" x14ac:dyDescent="0.3">
      <c r="A55" s="22"/>
      <c r="B55" s="23"/>
      <c r="C55" s="43" t="str">
        <f t="shared" si="0"/>
        <v/>
      </c>
      <c r="D55" s="44" t="str">
        <f>IF(C55&lt;&gt;"",CONCATENATE(C55,"-",COUNTIF($C$4:C55,C55),""),"")</f>
        <v/>
      </c>
      <c r="E55" s="24"/>
      <c r="F55" s="24"/>
      <c r="G55" s="24"/>
      <c r="H55" s="24"/>
      <c r="I55" s="24"/>
      <c r="J55" s="24"/>
      <c r="K55" s="25"/>
    </row>
    <row r="56" spans="1:11" ht="293.25" customHeight="1" x14ac:dyDescent="0.3">
      <c r="A56" s="22"/>
      <c r="B56" s="23"/>
      <c r="C56" s="43" t="str">
        <f t="shared" si="0"/>
        <v/>
      </c>
      <c r="D56" s="44" t="str">
        <f>IF(C56&lt;&gt;"",CONCATENATE(C56,"-",COUNTIF($C$4:C56,C56),""),"")</f>
        <v/>
      </c>
      <c r="E56" s="24"/>
      <c r="F56" s="24"/>
      <c r="G56" s="24"/>
      <c r="H56" s="24"/>
      <c r="I56" s="24"/>
      <c r="J56" s="24"/>
      <c r="K56" s="25"/>
    </row>
    <row r="57" spans="1:11" ht="293.25" customHeight="1" x14ac:dyDescent="0.3">
      <c r="A57" s="22"/>
      <c r="B57" s="23"/>
      <c r="C57" s="43" t="str">
        <f t="shared" si="0"/>
        <v/>
      </c>
      <c r="D57" s="44" t="str">
        <f>IF(C57&lt;&gt;"",CONCATENATE(C57,"-",COUNTIF($C$4:C57,C57),""),"")</f>
        <v/>
      </c>
      <c r="E57" s="24"/>
      <c r="F57" s="24"/>
      <c r="G57" s="24"/>
      <c r="H57" s="24"/>
      <c r="I57" s="24"/>
      <c r="J57" s="24"/>
      <c r="K57" s="25"/>
    </row>
    <row r="58" spans="1:11" ht="293.25" customHeight="1" x14ac:dyDescent="0.3">
      <c r="A58" s="22"/>
      <c r="B58" s="23"/>
      <c r="C58" s="43" t="str">
        <f t="shared" si="0"/>
        <v/>
      </c>
      <c r="D58" s="44" t="str">
        <f>IF(C58&lt;&gt;"",CONCATENATE(C58,"-",COUNTIF($C$4:C58,C58),""),"")</f>
        <v/>
      </c>
      <c r="E58" s="24"/>
      <c r="F58" s="24"/>
      <c r="G58" s="24"/>
      <c r="H58" s="24"/>
      <c r="I58" s="24"/>
      <c r="J58" s="24"/>
      <c r="K58" s="25"/>
    </row>
    <row r="59" spans="1:11" ht="293.25" customHeight="1" x14ac:dyDescent="0.3">
      <c r="A59" s="22"/>
      <c r="B59" s="23"/>
      <c r="C59" s="43" t="str">
        <f t="shared" si="0"/>
        <v/>
      </c>
      <c r="D59" s="44" t="str">
        <f>IF(C59&lt;&gt;"",CONCATENATE(C59,"-",COUNTIF($C$4:C59,C59),""),"")</f>
        <v/>
      </c>
      <c r="E59" s="24"/>
      <c r="F59" s="24"/>
      <c r="G59" s="24"/>
      <c r="H59" s="24"/>
      <c r="I59" s="24"/>
      <c r="J59" s="24"/>
      <c r="K59" s="25"/>
    </row>
    <row r="60" spans="1:11" ht="293.25" customHeight="1" x14ac:dyDescent="0.3">
      <c r="A60" s="22"/>
      <c r="B60" s="23"/>
      <c r="C60" s="43" t="str">
        <f t="shared" si="0"/>
        <v/>
      </c>
      <c r="D60" s="44" t="str">
        <f>IF(C60&lt;&gt;"",CONCATENATE(C60,"-",COUNTIF($C$4:C60,C60),""),"")</f>
        <v/>
      </c>
      <c r="E60" s="24"/>
      <c r="F60" s="24"/>
      <c r="G60" s="24"/>
      <c r="H60" s="24"/>
      <c r="I60" s="24"/>
      <c r="J60" s="24"/>
      <c r="K60" s="25"/>
    </row>
    <row r="61" spans="1:11" ht="293.25" customHeight="1" x14ac:dyDescent="0.3">
      <c r="A61" s="22"/>
      <c r="B61" s="23"/>
      <c r="C61" s="43" t="str">
        <f t="shared" si="0"/>
        <v/>
      </c>
      <c r="D61" s="44" t="str">
        <f>IF(C61&lt;&gt;"",CONCATENATE(C61,"-",COUNTIF($C$4:C61,C61),""),"")</f>
        <v/>
      </c>
      <c r="E61" s="24"/>
      <c r="F61" s="24"/>
      <c r="G61" s="24"/>
      <c r="H61" s="24"/>
      <c r="I61" s="24"/>
      <c r="J61" s="24"/>
      <c r="K61" s="25"/>
    </row>
    <row r="62" spans="1:11" ht="293.25" customHeight="1" x14ac:dyDescent="0.3">
      <c r="A62" s="22"/>
      <c r="B62" s="23"/>
      <c r="C62" s="43" t="str">
        <f t="shared" si="0"/>
        <v/>
      </c>
      <c r="D62" s="44" t="str">
        <f>IF(C62&lt;&gt;"",CONCATENATE(C62,"-",COUNTIF($C$4:C62,C62),""),"")</f>
        <v/>
      </c>
      <c r="E62" s="24"/>
      <c r="F62" s="24"/>
      <c r="G62" s="24"/>
      <c r="H62" s="24"/>
      <c r="I62" s="24"/>
      <c r="J62" s="24"/>
      <c r="K62" s="25"/>
    </row>
    <row r="63" spans="1:11" ht="293.25" customHeight="1" x14ac:dyDescent="0.3">
      <c r="A63" s="22"/>
      <c r="B63" s="23"/>
      <c r="C63" s="43" t="str">
        <f t="shared" si="0"/>
        <v/>
      </c>
      <c r="D63" s="44" t="str">
        <f>IF(C63&lt;&gt;"",CONCATENATE(C63,"-",COUNTIF($C$4:C63,C63),""),"")</f>
        <v/>
      </c>
      <c r="E63" s="24"/>
      <c r="F63" s="24"/>
      <c r="G63" s="24"/>
      <c r="H63" s="24"/>
      <c r="I63" s="24"/>
      <c r="J63" s="24"/>
      <c r="K63" s="25"/>
    </row>
    <row r="64" spans="1:11" ht="293.25" customHeight="1" x14ac:dyDescent="0.3">
      <c r="A64" s="22"/>
      <c r="B64" s="23"/>
      <c r="C64" s="43" t="str">
        <f t="shared" si="0"/>
        <v/>
      </c>
      <c r="D64" s="44" t="str">
        <f>IF(C64&lt;&gt;"",CONCATENATE(C64,"-",COUNTIF($C$4:C64,C64),""),"")</f>
        <v/>
      </c>
      <c r="E64" s="24"/>
      <c r="F64" s="24"/>
      <c r="G64" s="24"/>
      <c r="H64" s="24"/>
      <c r="I64" s="24"/>
      <c r="J64" s="24"/>
      <c r="K64" s="25"/>
    </row>
    <row r="65" spans="1:11" ht="293.25" customHeight="1" x14ac:dyDescent="0.3">
      <c r="A65" s="22"/>
      <c r="B65" s="23"/>
      <c r="C65" s="43" t="str">
        <f t="shared" si="0"/>
        <v/>
      </c>
      <c r="D65" s="44" t="str">
        <f>IF(C65&lt;&gt;"",CONCATENATE(C65,"-",COUNTIF($C$4:C65,C65),""),"")</f>
        <v/>
      </c>
      <c r="E65" s="24"/>
      <c r="F65" s="24"/>
      <c r="G65" s="24"/>
      <c r="H65" s="24"/>
      <c r="I65" s="24"/>
      <c r="J65" s="24"/>
      <c r="K65" s="25"/>
    </row>
    <row r="66" spans="1:11" ht="293.25" customHeight="1" x14ac:dyDescent="0.3">
      <c r="A66" s="22"/>
      <c r="B66" s="23"/>
      <c r="C66" s="43" t="str">
        <f t="shared" si="0"/>
        <v/>
      </c>
      <c r="D66" s="44" t="str">
        <f>IF(C66&lt;&gt;"",CONCATENATE(C66,"-",COUNTIF($C$4:C66,C66),""),"")</f>
        <v/>
      </c>
      <c r="E66" s="24"/>
      <c r="F66" s="24"/>
      <c r="G66" s="24"/>
      <c r="H66" s="24"/>
      <c r="I66" s="24"/>
      <c r="J66" s="24"/>
      <c r="K66" s="25"/>
    </row>
    <row r="67" spans="1:11" ht="293.25" customHeight="1" x14ac:dyDescent="0.3">
      <c r="A67" s="22"/>
      <c r="B67" s="23"/>
      <c r="C67" s="43" t="str">
        <f t="shared" si="0"/>
        <v/>
      </c>
      <c r="D67" s="44" t="str">
        <f>IF(C67&lt;&gt;"",CONCATENATE(C67,"-",COUNTIF($C$4:C67,C67),""),"")</f>
        <v/>
      </c>
      <c r="E67" s="24"/>
      <c r="F67" s="24"/>
      <c r="G67" s="24"/>
      <c r="H67" s="24"/>
      <c r="I67" s="24"/>
      <c r="J67" s="24"/>
      <c r="K67" s="25"/>
    </row>
    <row r="68" spans="1:11" ht="293.25" customHeight="1" x14ac:dyDescent="0.3">
      <c r="A68" s="22"/>
      <c r="B68" s="23"/>
      <c r="C68" s="43" t="str">
        <f t="shared" ref="C68:C103" si="1">IF(A68&lt;&gt;"",CONCATENATE(A68,"-",B68),"")</f>
        <v/>
      </c>
      <c r="D68" s="44" t="str">
        <f>IF(C68&lt;&gt;"",CONCATENATE(C68,"-",COUNTIF($C$4:C68,C68),""),"")</f>
        <v/>
      </c>
      <c r="E68" s="24"/>
      <c r="F68" s="24"/>
      <c r="G68" s="24"/>
      <c r="H68" s="24"/>
      <c r="I68" s="24"/>
      <c r="J68" s="24"/>
      <c r="K68" s="25"/>
    </row>
    <row r="69" spans="1:11" ht="293.25" customHeight="1" x14ac:dyDescent="0.3">
      <c r="A69" s="22"/>
      <c r="B69" s="23"/>
      <c r="C69" s="43" t="str">
        <f t="shared" si="1"/>
        <v/>
      </c>
      <c r="D69" s="44" t="str">
        <f>IF(C69&lt;&gt;"",CONCATENATE(C69,"-",COUNTIF($C$4:C69,C69),""),"")</f>
        <v/>
      </c>
      <c r="E69" s="24"/>
      <c r="F69" s="24"/>
      <c r="G69" s="24"/>
      <c r="H69" s="24"/>
      <c r="I69" s="24"/>
      <c r="J69" s="24"/>
      <c r="K69" s="25"/>
    </row>
    <row r="70" spans="1:11" ht="293.25" customHeight="1" x14ac:dyDescent="0.3">
      <c r="A70" s="22"/>
      <c r="B70" s="23"/>
      <c r="C70" s="43" t="str">
        <f t="shared" si="1"/>
        <v/>
      </c>
      <c r="D70" s="44" t="str">
        <f>IF(C70&lt;&gt;"",CONCATENATE(C70,"-",COUNTIF($C$4:C70,C70),""),"")</f>
        <v/>
      </c>
      <c r="E70" s="24"/>
      <c r="F70" s="24"/>
      <c r="G70" s="24"/>
      <c r="H70" s="24"/>
      <c r="I70" s="24"/>
      <c r="J70" s="24"/>
      <c r="K70" s="25"/>
    </row>
    <row r="71" spans="1:11" ht="293.25" customHeight="1" x14ac:dyDescent="0.3">
      <c r="A71" s="22"/>
      <c r="B71" s="23"/>
      <c r="C71" s="43" t="str">
        <f t="shared" si="1"/>
        <v/>
      </c>
      <c r="D71" s="44" t="str">
        <f>IF(C71&lt;&gt;"",CONCATENATE(C71,"-",COUNTIF($C$4:C71,C71),""),"")</f>
        <v/>
      </c>
      <c r="E71" s="24"/>
      <c r="F71" s="24"/>
      <c r="G71" s="24"/>
      <c r="H71" s="24"/>
      <c r="I71" s="24"/>
      <c r="J71" s="24"/>
      <c r="K71" s="25"/>
    </row>
    <row r="72" spans="1:11" ht="293.25" customHeight="1" x14ac:dyDescent="0.3">
      <c r="A72" s="22"/>
      <c r="B72" s="23"/>
      <c r="C72" s="43" t="str">
        <f t="shared" si="1"/>
        <v/>
      </c>
      <c r="D72" s="44" t="str">
        <f>IF(C72&lt;&gt;"",CONCATENATE(C72,"-",COUNTIF($C$4:C72,C72),""),"")</f>
        <v/>
      </c>
      <c r="E72" s="24"/>
      <c r="F72" s="24"/>
      <c r="G72" s="24"/>
      <c r="H72" s="24"/>
      <c r="I72" s="24"/>
      <c r="J72" s="24"/>
      <c r="K72" s="25"/>
    </row>
    <row r="73" spans="1:11" ht="293.25" customHeight="1" x14ac:dyDescent="0.3">
      <c r="A73" s="22"/>
      <c r="B73" s="23"/>
      <c r="C73" s="43" t="str">
        <f t="shared" si="1"/>
        <v/>
      </c>
      <c r="D73" s="44" t="str">
        <f>IF(C73&lt;&gt;"",CONCATENATE(C73,"-",COUNTIF($C$4:C73,C73),""),"")</f>
        <v/>
      </c>
      <c r="E73" s="24"/>
      <c r="F73" s="24"/>
      <c r="G73" s="24"/>
      <c r="H73" s="24"/>
      <c r="I73" s="24"/>
      <c r="J73" s="24"/>
      <c r="K73" s="25"/>
    </row>
    <row r="74" spans="1:11" ht="293.25" customHeight="1" x14ac:dyDescent="0.3">
      <c r="A74" s="22"/>
      <c r="B74" s="23"/>
      <c r="C74" s="43" t="str">
        <f t="shared" si="1"/>
        <v/>
      </c>
      <c r="D74" s="44" t="str">
        <f>IF(C74&lt;&gt;"",CONCATENATE(C74,"-",COUNTIF($C$4:C74,C74),""),"")</f>
        <v/>
      </c>
      <c r="E74" s="24"/>
      <c r="F74" s="24"/>
      <c r="G74" s="24"/>
      <c r="H74" s="24"/>
      <c r="I74" s="24"/>
      <c r="J74" s="24"/>
      <c r="K74" s="25"/>
    </row>
    <row r="75" spans="1:11" ht="293.25" customHeight="1" x14ac:dyDescent="0.3">
      <c r="A75" s="22"/>
      <c r="B75" s="23"/>
      <c r="C75" s="43" t="str">
        <f t="shared" si="1"/>
        <v/>
      </c>
      <c r="D75" s="44" t="str">
        <f>IF(C75&lt;&gt;"",CONCATENATE(C75,"-",COUNTIF($C$4:C75,C75),""),"")</f>
        <v/>
      </c>
      <c r="E75" s="24"/>
      <c r="F75" s="24"/>
      <c r="G75" s="24"/>
      <c r="H75" s="24"/>
      <c r="I75" s="24"/>
      <c r="J75" s="24"/>
      <c r="K75" s="25"/>
    </row>
    <row r="76" spans="1:11" ht="293.25" customHeight="1" x14ac:dyDescent="0.3">
      <c r="A76" s="22"/>
      <c r="B76" s="23"/>
      <c r="C76" s="43" t="str">
        <f t="shared" si="1"/>
        <v/>
      </c>
      <c r="D76" s="44" t="str">
        <f>IF(C76&lt;&gt;"",CONCATENATE(C76,"-",COUNTIF($C$4:C76,C76),""),"")</f>
        <v/>
      </c>
      <c r="E76" s="24"/>
      <c r="F76" s="24"/>
      <c r="G76" s="24"/>
      <c r="H76" s="24"/>
      <c r="I76" s="24"/>
      <c r="J76" s="24"/>
      <c r="K76" s="25"/>
    </row>
    <row r="77" spans="1:11" ht="293.25" customHeight="1" x14ac:dyDescent="0.3">
      <c r="A77" s="22"/>
      <c r="B77" s="23"/>
      <c r="C77" s="43" t="str">
        <f t="shared" si="1"/>
        <v/>
      </c>
      <c r="D77" s="44" t="str">
        <f>IF(C77&lt;&gt;"",CONCATENATE(C77,"-",COUNTIF($C$4:C77,C77),""),"")</f>
        <v/>
      </c>
      <c r="E77" s="24"/>
      <c r="F77" s="24"/>
      <c r="G77" s="24"/>
      <c r="H77" s="24"/>
      <c r="I77" s="24"/>
      <c r="J77" s="24"/>
      <c r="K77" s="25"/>
    </row>
    <row r="78" spans="1:11" ht="293.25" customHeight="1" x14ac:dyDescent="0.3">
      <c r="A78" s="22"/>
      <c r="B78" s="23"/>
      <c r="C78" s="43" t="str">
        <f t="shared" si="1"/>
        <v/>
      </c>
      <c r="D78" s="44" t="str">
        <f>IF(C78&lt;&gt;"",CONCATENATE(C78,"-",COUNTIF($C$4:C78,C78),""),"")</f>
        <v/>
      </c>
      <c r="E78" s="24"/>
      <c r="F78" s="24"/>
      <c r="G78" s="24"/>
      <c r="H78" s="24"/>
      <c r="I78" s="24"/>
      <c r="J78" s="24"/>
      <c r="K78" s="25"/>
    </row>
    <row r="79" spans="1:11" ht="293.25" customHeight="1" x14ac:dyDescent="0.3">
      <c r="A79" s="22"/>
      <c r="B79" s="23"/>
      <c r="C79" s="43" t="str">
        <f t="shared" si="1"/>
        <v/>
      </c>
      <c r="D79" s="44" t="str">
        <f>IF(C79&lt;&gt;"",CONCATENATE(C79,"-",COUNTIF($C$4:C79,C79),""),"")</f>
        <v/>
      </c>
      <c r="E79" s="24"/>
      <c r="F79" s="24"/>
      <c r="G79" s="24"/>
      <c r="H79" s="24"/>
      <c r="I79" s="24"/>
      <c r="J79" s="24"/>
      <c r="K79" s="25"/>
    </row>
    <row r="80" spans="1:11" ht="293.25" customHeight="1" x14ac:dyDescent="0.3">
      <c r="A80" s="22"/>
      <c r="B80" s="23"/>
      <c r="C80" s="43" t="str">
        <f t="shared" si="1"/>
        <v/>
      </c>
      <c r="D80" s="44" t="str">
        <f>IF(C80&lt;&gt;"",CONCATENATE(C80,"-",COUNTIF($C$4:C80,C80),""),"")</f>
        <v/>
      </c>
      <c r="E80" s="24"/>
      <c r="F80" s="24"/>
      <c r="G80" s="24"/>
      <c r="H80" s="24"/>
      <c r="I80" s="24"/>
      <c r="J80" s="24"/>
      <c r="K80" s="25"/>
    </row>
    <row r="81" spans="1:11" ht="293.25" customHeight="1" x14ac:dyDescent="0.3">
      <c r="A81" s="22"/>
      <c r="B81" s="23"/>
      <c r="C81" s="43" t="str">
        <f t="shared" si="1"/>
        <v/>
      </c>
      <c r="D81" s="44" t="str">
        <f>IF(C81&lt;&gt;"",CONCATENATE(C81,"-",COUNTIF($C$4:C81,C81),""),"")</f>
        <v/>
      </c>
      <c r="E81" s="24"/>
      <c r="F81" s="24"/>
      <c r="G81" s="24"/>
      <c r="H81" s="24"/>
      <c r="I81" s="24"/>
      <c r="J81" s="24"/>
      <c r="K81" s="25"/>
    </row>
    <row r="82" spans="1:11" ht="293.25" customHeight="1" x14ac:dyDescent="0.3">
      <c r="A82" s="22"/>
      <c r="B82" s="23"/>
      <c r="C82" s="43" t="str">
        <f t="shared" si="1"/>
        <v/>
      </c>
      <c r="D82" s="44" t="str">
        <f>IF(C82&lt;&gt;"",CONCATENATE(C82,"-",COUNTIF($C$4:C82,C82),""),"")</f>
        <v/>
      </c>
      <c r="E82" s="24"/>
      <c r="F82" s="24"/>
      <c r="G82" s="24"/>
      <c r="H82" s="24"/>
      <c r="I82" s="24"/>
      <c r="J82" s="24"/>
      <c r="K82" s="25"/>
    </row>
    <row r="83" spans="1:11" ht="293.25" customHeight="1" x14ac:dyDescent="0.3">
      <c r="A83" s="22"/>
      <c r="B83" s="23"/>
      <c r="C83" s="43" t="str">
        <f t="shared" si="1"/>
        <v/>
      </c>
      <c r="D83" s="44" t="str">
        <f>IF(C83&lt;&gt;"",CONCATENATE(C83,"-",COUNTIF($C$4:C83,C83),""),"")</f>
        <v/>
      </c>
      <c r="E83" s="24"/>
      <c r="F83" s="24"/>
      <c r="G83" s="24"/>
      <c r="H83" s="24"/>
      <c r="I83" s="24"/>
      <c r="J83" s="24"/>
      <c r="K83" s="25"/>
    </row>
    <row r="84" spans="1:11" ht="293.25" customHeight="1" x14ac:dyDescent="0.3">
      <c r="A84" s="22"/>
      <c r="B84" s="23"/>
      <c r="C84" s="43" t="str">
        <f t="shared" si="1"/>
        <v/>
      </c>
      <c r="D84" s="44" t="str">
        <f>IF(C84&lt;&gt;"",CONCATENATE(C84,"-",COUNTIF($C$4:C84,C84),""),"")</f>
        <v/>
      </c>
      <c r="E84" s="24"/>
      <c r="F84" s="24"/>
      <c r="G84" s="24"/>
      <c r="H84" s="24"/>
      <c r="I84" s="24"/>
      <c r="J84" s="24"/>
      <c r="K84" s="25"/>
    </row>
    <row r="85" spans="1:11" ht="293.25" customHeight="1" x14ac:dyDescent="0.3">
      <c r="A85" s="22"/>
      <c r="B85" s="23"/>
      <c r="C85" s="43" t="str">
        <f t="shared" si="1"/>
        <v/>
      </c>
      <c r="D85" s="44" t="str">
        <f>IF(C85&lt;&gt;"",CONCATENATE(C85,"-",COUNTIF($C$4:C85,C85),""),"")</f>
        <v/>
      </c>
      <c r="E85" s="24"/>
      <c r="F85" s="24"/>
      <c r="G85" s="24"/>
      <c r="H85" s="24"/>
      <c r="I85" s="24"/>
      <c r="J85" s="24"/>
      <c r="K85" s="25"/>
    </row>
    <row r="86" spans="1:11" ht="293.25" customHeight="1" x14ac:dyDescent="0.3">
      <c r="A86" s="22"/>
      <c r="B86" s="23"/>
      <c r="C86" s="43" t="str">
        <f t="shared" si="1"/>
        <v/>
      </c>
      <c r="D86" s="44" t="str">
        <f>IF(C86&lt;&gt;"",CONCATENATE(C86,"-",COUNTIF($C$4:C86,C86),""),"")</f>
        <v/>
      </c>
      <c r="E86" s="24"/>
      <c r="F86" s="24"/>
      <c r="G86" s="24"/>
      <c r="H86" s="24"/>
      <c r="I86" s="24"/>
      <c r="J86" s="24"/>
      <c r="K86" s="25"/>
    </row>
    <row r="87" spans="1:11" ht="293.25" customHeight="1" x14ac:dyDescent="0.3">
      <c r="A87" s="22"/>
      <c r="B87" s="23"/>
      <c r="C87" s="43" t="str">
        <f t="shared" si="1"/>
        <v/>
      </c>
      <c r="D87" s="44" t="str">
        <f>IF(C87&lt;&gt;"",CONCATENATE(C87,"-",COUNTIF($C$4:C87,C87),""),"")</f>
        <v/>
      </c>
      <c r="E87" s="24"/>
      <c r="F87" s="24"/>
      <c r="G87" s="24"/>
      <c r="H87" s="24"/>
      <c r="I87" s="24"/>
      <c r="J87" s="24"/>
      <c r="K87" s="25"/>
    </row>
    <row r="88" spans="1:11" ht="293.25" customHeight="1" x14ac:dyDescent="0.3">
      <c r="A88" s="22"/>
      <c r="B88" s="23"/>
      <c r="C88" s="43" t="str">
        <f t="shared" si="1"/>
        <v/>
      </c>
      <c r="D88" s="44" t="str">
        <f>IF(C88&lt;&gt;"",CONCATENATE(C88,"-",COUNTIF($C$4:C88,C88),""),"")</f>
        <v/>
      </c>
      <c r="E88" s="24"/>
      <c r="F88" s="24"/>
      <c r="G88" s="24"/>
      <c r="H88" s="24"/>
      <c r="I88" s="24"/>
      <c r="J88" s="24"/>
      <c r="K88" s="25"/>
    </row>
    <row r="89" spans="1:11" ht="293.25" customHeight="1" x14ac:dyDescent="0.3">
      <c r="A89" s="22"/>
      <c r="B89" s="23"/>
      <c r="C89" s="43" t="str">
        <f t="shared" si="1"/>
        <v/>
      </c>
      <c r="D89" s="44" t="str">
        <f>IF(C89&lt;&gt;"",CONCATENATE(C89,"-",COUNTIF($C$4:C89,C89),""),"")</f>
        <v/>
      </c>
      <c r="E89" s="24"/>
      <c r="F89" s="24"/>
      <c r="G89" s="24"/>
      <c r="H89" s="24"/>
      <c r="I89" s="24"/>
      <c r="J89" s="24"/>
      <c r="K89" s="25"/>
    </row>
    <row r="90" spans="1:11" ht="293.25" customHeight="1" x14ac:dyDescent="0.3">
      <c r="A90" s="22"/>
      <c r="B90" s="23"/>
      <c r="C90" s="43" t="str">
        <f t="shared" si="1"/>
        <v/>
      </c>
      <c r="D90" s="44" t="str">
        <f>IF(C90&lt;&gt;"",CONCATENATE(C90,"-",COUNTIF($C$4:C90,C90),""),"")</f>
        <v/>
      </c>
      <c r="E90" s="24"/>
      <c r="F90" s="24"/>
      <c r="G90" s="24"/>
      <c r="H90" s="24"/>
      <c r="I90" s="24"/>
      <c r="J90" s="24"/>
      <c r="K90" s="25"/>
    </row>
    <row r="91" spans="1:11" ht="293.25" customHeight="1" x14ac:dyDescent="0.3">
      <c r="A91" s="22"/>
      <c r="B91" s="23"/>
      <c r="C91" s="43" t="str">
        <f t="shared" si="1"/>
        <v/>
      </c>
      <c r="D91" s="44" t="str">
        <f>IF(C91&lt;&gt;"",CONCATENATE(C91,"-",COUNTIF($C$4:C91,C91),""),"")</f>
        <v/>
      </c>
      <c r="E91" s="24"/>
      <c r="F91" s="24"/>
      <c r="G91" s="24"/>
      <c r="H91" s="24"/>
      <c r="I91" s="24"/>
      <c r="J91" s="24"/>
      <c r="K91" s="25"/>
    </row>
    <row r="92" spans="1:11" ht="293.25" customHeight="1" x14ac:dyDescent="0.3">
      <c r="A92" s="22"/>
      <c r="B92" s="23"/>
      <c r="C92" s="43" t="str">
        <f t="shared" si="1"/>
        <v/>
      </c>
      <c r="D92" s="44" t="str">
        <f>IF(C92&lt;&gt;"",CONCATENATE(C92,"-",COUNTIF($C$4:C92,C92),""),"")</f>
        <v/>
      </c>
      <c r="E92" s="24"/>
      <c r="F92" s="24"/>
      <c r="G92" s="24"/>
      <c r="H92" s="24"/>
      <c r="I92" s="24"/>
      <c r="J92" s="24"/>
      <c r="K92" s="25"/>
    </row>
    <row r="93" spans="1:11" ht="293.25" customHeight="1" x14ac:dyDescent="0.3">
      <c r="A93" s="22"/>
      <c r="B93" s="23"/>
      <c r="C93" s="43" t="str">
        <f t="shared" si="1"/>
        <v/>
      </c>
      <c r="D93" s="44" t="str">
        <f>IF(C93&lt;&gt;"",CONCATENATE(C93,"-",COUNTIF($C$4:C93,C93),""),"")</f>
        <v/>
      </c>
      <c r="E93" s="24"/>
      <c r="F93" s="24"/>
      <c r="G93" s="24"/>
      <c r="H93" s="24"/>
      <c r="I93" s="24"/>
      <c r="J93" s="24"/>
      <c r="K93" s="25"/>
    </row>
    <row r="94" spans="1:11" ht="293.25" customHeight="1" x14ac:dyDescent="0.3">
      <c r="A94" s="22"/>
      <c r="B94" s="23"/>
      <c r="C94" s="43" t="str">
        <f t="shared" si="1"/>
        <v/>
      </c>
      <c r="D94" s="44" t="str">
        <f>IF(C94&lt;&gt;"",CONCATENATE(C94,"-",COUNTIF($C$4:C94,C94),""),"")</f>
        <v/>
      </c>
      <c r="E94" s="24"/>
      <c r="F94" s="24"/>
      <c r="G94" s="24"/>
      <c r="H94" s="24"/>
      <c r="I94" s="24"/>
      <c r="J94" s="24"/>
      <c r="K94" s="25"/>
    </row>
    <row r="95" spans="1:11" ht="293.25" customHeight="1" x14ac:dyDescent="0.3">
      <c r="A95" s="22"/>
      <c r="B95" s="23"/>
      <c r="C95" s="43" t="str">
        <f t="shared" si="1"/>
        <v/>
      </c>
      <c r="D95" s="44" t="str">
        <f>IF(C95&lt;&gt;"",CONCATENATE(C95,"-",COUNTIF($C$4:C95,C95),""),"")</f>
        <v/>
      </c>
      <c r="E95" s="24"/>
      <c r="F95" s="24"/>
      <c r="G95" s="24"/>
      <c r="H95" s="24"/>
      <c r="I95" s="24"/>
      <c r="J95" s="24"/>
      <c r="K95" s="25"/>
    </row>
    <row r="96" spans="1:11" ht="293.25" customHeight="1" x14ac:dyDescent="0.3">
      <c r="A96" s="22"/>
      <c r="B96" s="23"/>
      <c r="C96" s="43" t="str">
        <f t="shared" si="1"/>
        <v/>
      </c>
      <c r="D96" s="44" t="str">
        <f>IF(C96&lt;&gt;"",CONCATENATE(C96,"-",COUNTIF($C$4:C96,C96),""),"")</f>
        <v/>
      </c>
      <c r="E96" s="24"/>
      <c r="F96" s="24"/>
      <c r="G96" s="24"/>
      <c r="H96" s="24"/>
      <c r="I96" s="24"/>
      <c r="J96" s="24"/>
      <c r="K96" s="25"/>
    </row>
    <row r="97" spans="1:11" ht="293.25" customHeight="1" x14ac:dyDescent="0.3">
      <c r="A97" s="22"/>
      <c r="B97" s="23"/>
      <c r="C97" s="43" t="str">
        <f t="shared" si="1"/>
        <v/>
      </c>
      <c r="D97" s="44" t="str">
        <f>IF(C97&lt;&gt;"",CONCATENATE(C97,"-",COUNTIF($C$4:C97,C97),""),"")</f>
        <v/>
      </c>
      <c r="E97" s="24"/>
      <c r="F97" s="24"/>
      <c r="G97" s="24"/>
      <c r="H97" s="24"/>
      <c r="I97" s="24"/>
      <c r="J97" s="24"/>
      <c r="K97" s="25"/>
    </row>
    <row r="98" spans="1:11" ht="293.25" customHeight="1" x14ac:dyDescent="0.3">
      <c r="A98" s="22"/>
      <c r="B98" s="23"/>
      <c r="C98" s="43" t="str">
        <f t="shared" si="1"/>
        <v/>
      </c>
      <c r="D98" s="44" t="str">
        <f>IF(C98&lt;&gt;"",CONCATENATE(C98,"-",COUNTIF($C$4:C98,C98),""),"")</f>
        <v/>
      </c>
      <c r="E98" s="24"/>
      <c r="F98" s="24"/>
      <c r="G98" s="24"/>
      <c r="H98" s="24"/>
      <c r="I98" s="24"/>
      <c r="J98" s="24"/>
      <c r="K98" s="25"/>
    </row>
    <row r="99" spans="1:11" ht="293.25" customHeight="1" x14ac:dyDescent="0.3">
      <c r="A99" s="22"/>
      <c r="B99" s="23"/>
      <c r="C99" s="43" t="str">
        <f t="shared" si="1"/>
        <v/>
      </c>
      <c r="D99" s="44" t="str">
        <f>IF(C99&lt;&gt;"",CONCATENATE(C99,"-",COUNTIF($C$4:C99,C99),""),"")</f>
        <v/>
      </c>
      <c r="E99" s="24"/>
      <c r="F99" s="24"/>
      <c r="G99" s="24"/>
      <c r="H99" s="24"/>
      <c r="I99" s="24"/>
      <c r="J99" s="24"/>
      <c r="K99" s="25"/>
    </row>
    <row r="100" spans="1:11" ht="293.25" customHeight="1" x14ac:dyDescent="0.3">
      <c r="A100" s="22"/>
      <c r="B100" s="23"/>
      <c r="C100" s="43" t="str">
        <f t="shared" si="1"/>
        <v/>
      </c>
      <c r="D100" s="44" t="str">
        <f>IF(C100&lt;&gt;"",CONCATENATE(C100,"-",COUNTIF($C$4:C100,C100),""),"")</f>
        <v/>
      </c>
      <c r="E100" s="24"/>
      <c r="F100" s="24"/>
      <c r="G100" s="24"/>
      <c r="H100" s="24"/>
      <c r="I100" s="24"/>
      <c r="J100" s="24"/>
      <c r="K100" s="25"/>
    </row>
    <row r="101" spans="1:11" ht="293.25" customHeight="1" x14ac:dyDescent="0.3">
      <c r="A101" s="22"/>
      <c r="B101" s="23"/>
      <c r="C101" s="43" t="str">
        <f t="shared" si="1"/>
        <v/>
      </c>
      <c r="D101" s="44" t="str">
        <f>IF(C101&lt;&gt;"",CONCATENATE(C101,"-",COUNTIF($C$4:C101,C101),""),"")</f>
        <v/>
      </c>
      <c r="E101" s="24"/>
      <c r="F101" s="24"/>
      <c r="G101" s="24"/>
      <c r="H101" s="24"/>
      <c r="I101" s="24"/>
      <c r="J101" s="24"/>
      <c r="K101" s="25"/>
    </row>
    <row r="102" spans="1:11" ht="293.25" customHeight="1" x14ac:dyDescent="0.3">
      <c r="A102" s="22"/>
      <c r="B102" s="23"/>
      <c r="C102" s="43" t="str">
        <f t="shared" si="1"/>
        <v/>
      </c>
      <c r="D102" s="44" t="str">
        <f>IF(C102&lt;&gt;"",CONCATENATE(C102,"-",COUNTIF($C$4:C102,C102),""),"")</f>
        <v/>
      </c>
      <c r="E102" s="24"/>
      <c r="F102" s="24"/>
      <c r="G102" s="24"/>
      <c r="H102" s="24"/>
      <c r="I102" s="24"/>
      <c r="J102" s="24"/>
      <c r="K102" s="25"/>
    </row>
    <row r="103" spans="1:11" ht="293.25" customHeight="1" x14ac:dyDescent="0.3">
      <c r="A103" s="22"/>
      <c r="B103" s="23"/>
      <c r="C103" s="43" t="str">
        <f t="shared" si="1"/>
        <v/>
      </c>
      <c r="D103" s="44" t="str">
        <f>IF(C103&lt;&gt;"",CONCATENATE(C103,"-",COUNTIF($C$4:C103,C103),""),"")</f>
        <v/>
      </c>
      <c r="E103" s="24"/>
      <c r="F103" s="24"/>
      <c r="G103" s="24"/>
      <c r="H103" s="24"/>
      <c r="I103" s="24"/>
      <c r="J103" s="24"/>
      <c r="K103" s="25"/>
    </row>
    <row r="104" spans="1:11" ht="293.25" customHeight="1" x14ac:dyDescent="0.3">
      <c r="A104" s="22"/>
      <c r="B104" s="23"/>
      <c r="C104" s="43" t="str">
        <f t="shared" ref="C104:C108" si="2">IF(A104&lt;&gt;"",CONCATENATE(A104,"-",B104),"")</f>
        <v/>
      </c>
      <c r="D104" s="44" t="str">
        <f>IF(C104&lt;&gt;"",CONCATENATE(C104,"-",COUNTIF($C$4:C104,C104),""),"")</f>
        <v/>
      </c>
      <c r="E104" s="24"/>
      <c r="F104" s="24"/>
      <c r="G104" s="24"/>
      <c r="H104" s="24"/>
      <c r="I104" s="24"/>
      <c r="J104" s="24"/>
      <c r="K104" s="25"/>
    </row>
    <row r="105" spans="1:11" ht="293.25" customHeight="1" x14ac:dyDescent="0.3">
      <c r="A105" s="22"/>
      <c r="B105" s="23"/>
      <c r="C105" s="43" t="str">
        <f t="shared" si="2"/>
        <v/>
      </c>
      <c r="D105" s="44" t="str">
        <f>IF(C105&lt;&gt;"",CONCATENATE(C105,"-",COUNTIF($C$4:C105,C105),""),"")</f>
        <v/>
      </c>
      <c r="E105" s="24"/>
      <c r="F105" s="24"/>
      <c r="G105" s="24"/>
      <c r="H105" s="24"/>
      <c r="I105" s="24"/>
      <c r="J105" s="24"/>
      <c r="K105" s="25"/>
    </row>
    <row r="106" spans="1:11" ht="293.25" customHeight="1" x14ac:dyDescent="0.3">
      <c r="A106" s="22"/>
      <c r="B106" s="23"/>
      <c r="C106" s="43" t="str">
        <f t="shared" si="2"/>
        <v/>
      </c>
      <c r="D106" s="44" t="str">
        <f>IF(C106&lt;&gt;"",CONCATENATE(C106,"-",COUNTIF($C$4:C106,C106),""),"")</f>
        <v/>
      </c>
      <c r="E106" s="24"/>
      <c r="F106" s="24"/>
      <c r="G106" s="24"/>
      <c r="H106" s="24"/>
      <c r="I106" s="24"/>
      <c r="J106" s="24"/>
      <c r="K106" s="25"/>
    </row>
    <row r="107" spans="1:11" ht="293.25" customHeight="1" x14ac:dyDescent="0.3">
      <c r="A107" s="22"/>
      <c r="B107" s="23"/>
      <c r="C107" s="43" t="str">
        <f t="shared" si="2"/>
        <v/>
      </c>
      <c r="D107" s="44" t="str">
        <f>IF(C107&lt;&gt;"",CONCATENATE(C107,"-",COUNTIF($C$4:C107,C107),""),"")</f>
        <v/>
      </c>
      <c r="E107" s="24"/>
      <c r="F107" s="24"/>
      <c r="G107" s="24"/>
      <c r="H107" s="24"/>
      <c r="I107" s="24"/>
      <c r="J107" s="24"/>
      <c r="K107" s="25"/>
    </row>
    <row r="108" spans="1:11" ht="293.25" customHeight="1" x14ac:dyDescent="0.3">
      <c r="A108" s="22"/>
      <c r="B108" s="23"/>
      <c r="C108" s="43" t="str">
        <f t="shared" si="2"/>
        <v/>
      </c>
      <c r="D108" s="44" t="str">
        <f>IF(C108&lt;&gt;"",CONCATENATE(C108,"-",COUNTIF($C$4:C108,C108),""),"")</f>
        <v/>
      </c>
      <c r="E108" s="24"/>
      <c r="F108" s="24"/>
      <c r="G108" s="24"/>
      <c r="H108" s="24"/>
      <c r="I108" s="24"/>
      <c r="J108" s="24"/>
      <c r="K108" s="25"/>
    </row>
    <row r="109" spans="1:11" ht="293.25" customHeight="1" x14ac:dyDescent="0.3">
      <c r="A109" s="22"/>
      <c r="B109" s="23"/>
      <c r="C109" s="43" t="str">
        <f t="shared" ref="C109:C153" si="3">IF(A109&lt;&gt;"",CONCATENATE(A109,"-",B109),"")</f>
        <v/>
      </c>
      <c r="D109" s="44" t="str">
        <f>IF(C109&lt;&gt;"",CONCATENATE(C109,"-",COUNTIF($C$4:C109,C109),""),"")</f>
        <v/>
      </c>
      <c r="E109" s="24"/>
      <c r="F109" s="24"/>
      <c r="G109" s="24"/>
      <c r="H109" s="24"/>
      <c r="I109" s="24"/>
      <c r="J109" s="24"/>
      <c r="K109" s="25"/>
    </row>
    <row r="110" spans="1:11" ht="293.25" customHeight="1" x14ac:dyDescent="0.3">
      <c r="A110" s="22"/>
      <c r="B110" s="23"/>
      <c r="C110" s="43" t="str">
        <f t="shared" si="3"/>
        <v/>
      </c>
      <c r="D110" s="44" t="str">
        <f>IF(C110&lt;&gt;"",CONCATENATE(C110,"-",COUNTIF($C$4:C110,C110),""),"")</f>
        <v/>
      </c>
      <c r="E110" s="24"/>
      <c r="F110" s="24"/>
      <c r="G110" s="24"/>
      <c r="H110" s="24"/>
      <c r="I110" s="24"/>
      <c r="J110" s="24"/>
      <c r="K110" s="25"/>
    </row>
    <row r="111" spans="1:11" ht="293.25" customHeight="1" x14ac:dyDescent="0.3">
      <c r="A111" s="22"/>
      <c r="B111" s="23"/>
      <c r="C111" s="43" t="str">
        <f t="shared" si="3"/>
        <v/>
      </c>
      <c r="D111" s="44" t="str">
        <f>IF(C111&lt;&gt;"",CONCATENATE(C111,"-",COUNTIF($C$4:C111,C111),""),"")</f>
        <v/>
      </c>
      <c r="E111" s="24"/>
      <c r="F111" s="24"/>
      <c r="G111" s="24"/>
      <c r="H111" s="24"/>
      <c r="I111" s="24"/>
      <c r="J111" s="24"/>
      <c r="K111" s="25"/>
    </row>
    <row r="112" spans="1:11" ht="293.25" customHeight="1" x14ac:dyDescent="0.3">
      <c r="A112" s="22"/>
      <c r="B112" s="23"/>
      <c r="C112" s="43" t="str">
        <f t="shared" si="3"/>
        <v/>
      </c>
      <c r="D112" s="44" t="str">
        <f>IF(C112&lt;&gt;"",CONCATENATE(C112,"-",COUNTIF($C$4:C112,C112),""),"")</f>
        <v/>
      </c>
      <c r="E112" s="24"/>
      <c r="F112" s="24"/>
      <c r="G112" s="24"/>
      <c r="H112" s="24"/>
      <c r="I112" s="24"/>
      <c r="J112" s="24"/>
      <c r="K112" s="25"/>
    </row>
    <row r="113" spans="1:11" ht="293.25" customHeight="1" x14ac:dyDescent="0.3">
      <c r="A113" s="22"/>
      <c r="B113" s="23"/>
      <c r="C113" s="43" t="str">
        <f t="shared" si="3"/>
        <v/>
      </c>
      <c r="D113" s="44" t="str">
        <f>IF(C113&lt;&gt;"",CONCATENATE(C113,"-",COUNTIF($C$4:C113,C113),""),"")</f>
        <v/>
      </c>
      <c r="E113" s="24"/>
      <c r="F113" s="24"/>
      <c r="G113" s="24"/>
      <c r="H113" s="24"/>
      <c r="I113" s="24"/>
      <c r="J113" s="24"/>
      <c r="K113" s="25"/>
    </row>
    <row r="114" spans="1:11" ht="293.25" customHeight="1" x14ac:dyDescent="0.3">
      <c r="A114" s="22"/>
      <c r="B114" s="23"/>
      <c r="C114" s="43" t="str">
        <f t="shared" si="3"/>
        <v/>
      </c>
      <c r="D114" s="44" t="str">
        <f>IF(C114&lt;&gt;"",CONCATENATE(C114,"-",COUNTIF($C$4:C114,C114),""),"")</f>
        <v/>
      </c>
      <c r="E114" s="24"/>
      <c r="F114" s="24"/>
      <c r="G114" s="24"/>
      <c r="H114" s="24"/>
      <c r="I114" s="24"/>
      <c r="J114" s="24"/>
      <c r="K114" s="25"/>
    </row>
    <row r="115" spans="1:11" ht="293.25" customHeight="1" x14ac:dyDescent="0.3">
      <c r="A115" s="22"/>
      <c r="B115" s="23"/>
      <c r="C115" s="43" t="str">
        <f t="shared" si="3"/>
        <v/>
      </c>
      <c r="D115" s="44" t="str">
        <f>IF(C115&lt;&gt;"",CONCATENATE(C115,"-",COUNTIF($C$4:C115,C115),""),"")</f>
        <v/>
      </c>
      <c r="E115" s="24"/>
      <c r="F115" s="24"/>
      <c r="G115" s="24"/>
      <c r="H115" s="24"/>
      <c r="I115" s="24"/>
      <c r="J115" s="24"/>
      <c r="K115" s="25"/>
    </row>
    <row r="116" spans="1:11" ht="293.25" customHeight="1" x14ac:dyDescent="0.3">
      <c r="A116" s="22"/>
      <c r="B116" s="23"/>
      <c r="C116" s="43" t="str">
        <f t="shared" si="3"/>
        <v/>
      </c>
      <c r="D116" s="44" t="str">
        <f>IF(C116&lt;&gt;"",CONCATENATE(C116,"-",COUNTIF($C$4:C116,C116),""),"")</f>
        <v/>
      </c>
      <c r="E116" s="24"/>
      <c r="F116" s="24"/>
      <c r="G116" s="24"/>
      <c r="H116" s="24"/>
      <c r="I116" s="24"/>
      <c r="J116" s="24"/>
      <c r="K116" s="25"/>
    </row>
    <row r="117" spans="1:11" ht="293.25" customHeight="1" x14ac:dyDescent="0.3">
      <c r="A117" s="22"/>
      <c r="B117" s="23"/>
      <c r="C117" s="43" t="str">
        <f t="shared" si="3"/>
        <v/>
      </c>
      <c r="D117" s="44" t="str">
        <f>IF(C117&lt;&gt;"",CONCATENATE(C117,"-",COUNTIF($C$4:C117,C117),""),"")</f>
        <v/>
      </c>
      <c r="E117" s="24"/>
      <c r="F117" s="24"/>
      <c r="G117" s="24"/>
      <c r="H117" s="24"/>
      <c r="I117" s="24"/>
      <c r="J117" s="24"/>
      <c r="K117" s="25"/>
    </row>
    <row r="118" spans="1:11" ht="293.25" customHeight="1" x14ac:dyDescent="0.3">
      <c r="A118" s="22"/>
      <c r="B118" s="23"/>
      <c r="C118" s="43" t="str">
        <f t="shared" si="3"/>
        <v/>
      </c>
      <c r="D118" s="44" t="str">
        <f>IF(C118&lt;&gt;"",CONCATENATE(C118,"-",COUNTIF($C$4:C118,C118),""),"")</f>
        <v/>
      </c>
      <c r="E118" s="24"/>
      <c r="F118" s="24"/>
      <c r="G118" s="24"/>
      <c r="H118" s="24"/>
      <c r="I118" s="24"/>
      <c r="J118" s="24"/>
      <c r="K118" s="25"/>
    </row>
    <row r="119" spans="1:11" ht="293.25" customHeight="1" x14ac:dyDescent="0.3">
      <c r="A119" s="22"/>
      <c r="B119" s="23"/>
      <c r="C119" s="43" t="str">
        <f t="shared" si="3"/>
        <v/>
      </c>
      <c r="D119" s="44" t="str">
        <f>IF(C119&lt;&gt;"",CONCATENATE(C119,"-",COUNTIF($C$4:C119,C119),""),"")</f>
        <v/>
      </c>
      <c r="E119" s="24"/>
      <c r="F119" s="24"/>
      <c r="G119" s="24"/>
      <c r="H119" s="24"/>
      <c r="I119" s="24"/>
      <c r="J119" s="24"/>
      <c r="K119" s="25"/>
    </row>
    <row r="120" spans="1:11" ht="293.25" customHeight="1" x14ac:dyDescent="0.3">
      <c r="A120" s="22"/>
      <c r="B120" s="23"/>
      <c r="C120" s="43" t="str">
        <f t="shared" si="3"/>
        <v/>
      </c>
      <c r="D120" s="44" t="str">
        <f>IF(C120&lt;&gt;"",CONCATENATE(C120,"-",COUNTIF($C$4:C120,C120),""),"")</f>
        <v/>
      </c>
      <c r="E120" s="24"/>
      <c r="F120" s="24"/>
      <c r="G120" s="24"/>
      <c r="H120" s="24"/>
      <c r="I120" s="24"/>
      <c r="J120" s="24"/>
      <c r="K120" s="25"/>
    </row>
    <row r="121" spans="1:11" ht="293.25" customHeight="1" x14ac:dyDescent="0.3">
      <c r="A121" s="22"/>
      <c r="B121" s="23"/>
      <c r="C121" s="43" t="str">
        <f t="shared" si="3"/>
        <v/>
      </c>
      <c r="D121" s="44" t="str">
        <f>IF(C121&lt;&gt;"",CONCATENATE(C121,"-",COUNTIF($C$4:C121,C121),""),"")</f>
        <v/>
      </c>
      <c r="E121" s="24"/>
      <c r="F121" s="24"/>
      <c r="G121" s="24"/>
      <c r="H121" s="24"/>
      <c r="I121" s="24"/>
      <c r="J121" s="24"/>
      <c r="K121" s="25"/>
    </row>
    <row r="122" spans="1:11" ht="293.25" customHeight="1" x14ac:dyDescent="0.3">
      <c r="A122" s="22"/>
      <c r="B122" s="23"/>
      <c r="C122" s="43" t="str">
        <f t="shared" si="3"/>
        <v/>
      </c>
      <c r="D122" s="44" t="str">
        <f>IF(C122&lt;&gt;"",CONCATENATE(C122,"-",COUNTIF($C$4:C122,C122),""),"")</f>
        <v/>
      </c>
      <c r="E122" s="24"/>
      <c r="F122" s="24"/>
      <c r="G122" s="24"/>
      <c r="H122" s="24"/>
      <c r="I122" s="24"/>
      <c r="J122" s="24"/>
      <c r="K122" s="25"/>
    </row>
    <row r="123" spans="1:11" ht="293.25" customHeight="1" x14ac:dyDescent="0.3">
      <c r="A123" s="22"/>
      <c r="B123" s="23"/>
      <c r="C123" s="43" t="str">
        <f t="shared" si="3"/>
        <v/>
      </c>
      <c r="D123" s="44" t="str">
        <f>IF(C123&lt;&gt;"",CONCATENATE(C123,"-",COUNTIF($C$4:C123,C123),""),"")</f>
        <v/>
      </c>
      <c r="E123" s="24"/>
      <c r="F123" s="24"/>
      <c r="G123" s="24"/>
      <c r="H123" s="24"/>
      <c r="I123" s="24"/>
      <c r="J123" s="24"/>
      <c r="K123" s="25"/>
    </row>
    <row r="124" spans="1:11" ht="293.25" customHeight="1" x14ac:dyDescent="0.3">
      <c r="A124" s="22"/>
      <c r="B124" s="23"/>
      <c r="C124" s="43" t="str">
        <f t="shared" si="3"/>
        <v/>
      </c>
      <c r="D124" s="44" t="str">
        <f>IF(C124&lt;&gt;"",CONCATENATE(C124,"-",COUNTIF($C$4:C124,C124),""),"")</f>
        <v/>
      </c>
      <c r="E124" s="24"/>
      <c r="F124" s="24"/>
      <c r="G124" s="24"/>
      <c r="H124" s="24"/>
      <c r="I124" s="24"/>
      <c r="J124" s="24"/>
      <c r="K124" s="25"/>
    </row>
    <row r="125" spans="1:11" ht="293.25" customHeight="1" x14ac:dyDescent="0.3">
      <c r="A125" s="22"/>
      <c r="B125" s="23"/>
      <c r="C125" s="43" t="str">
        <f t="shared" si="3"/>
        <v/>
      </c>
      <c r="D125" s="44" t="str">
        <f>IF(C125&lt;&gt;"",CONCATENATE(C125,"-",COUNTIF($C$4:C125,C125),""),"")</f>
        <v/>
      </c>
      <c r="E125" s="24"/>
      <c r="F125" s="24"/>
      <c r="G125" s="24"/>
      <c r="H125" s="24"/>
      <c r="I125" s="24"/>
      <c r="J125" s="24"/>
      <c r="K125" s="25"/>
    </row>
    <row r="126" spans="1:11" ht="293.25" customHeight="1" x14ac:dyDescent="0.3">
      <c r="A126" s="22"/>
      <c r="B126" s="23"/>
      <c r="C126" s="43" t="str">
        <f t="shared" si="3"/>
        <v/>
      </c>
      <c r="D126" s="44" t="str">
        <f>IF(C126&lt;&gt;"",CONCATENATE(C126,"-",COUNTIF($C$4:C126,C126),""),"")</f>
        <v/>
      </c>
      <c r="E126" s="24"/>
      <c r="F126" s="24"/>
      <c r="G126" s="24"/>
      <c r="H126" s="24"/>
      <c r="I126" s="24"/>
      <c r="J126" s="24"/>
      <c r="K126" s="25"/>
    </row>
    <row r="127" spans="1:11" ht="293.25" customHeight="1" x14ac:dyDescent="0.3">
      <c r="A127" s="22"/>
      <c r="B127" s="23"/>
      <c r="C127" s="43" t="str">
        <f t="shared" si="3"/>
        <v/>
      </c>
      <c r="D127" s="44" t="str">
        <f>IF(C127&lt;&gt;"",CONCATENATE(C127,"-",COUNTIF($C$4:C127,C127),""),"")</f>
        <v/>
      </c>
      <c r="E127" s="24"/>
      <c r="F127" s="24"/>
      <c r="G127" s="24"/>
      <c r="H127" s="24"/>
      <c r="I127" s="24"/>
      <c r="J127" s="24"/>
      <c r="K127" s="25"/>
    </row>
    <row r="128" spans="1:11" ht="293.25" customHeight="1" x14ac:dyDescent="0.3">
      <c r="A128" s="22"/>
      <c r="B128" s="23"/>
      <c r="C128" s="43" t="str">
        <f t="shared" si="3"/>
        <v/>
      </c>
      <c r="D128" s="44" t="str">
        <f>IF(C128&lt;&gt;"",CONCATENATE(C128,"-",COUNTIF($C$4:C128,C128),""),"")</f>
        <v/>
      </c>
      <c r="E128" s="24"/>
      <c r="F128" s="24"/>
      <c r="G128" s="24"/>
      <c r="H128" s="24"/>
      <c r="I128" s="24"/>
      <c r="J128" s="24"/>
      <c r="K128" s="25"/>
    </row>
    <row r="129" spans="1:11" ht="293.25" customHeight="1" x14ac:dyDescent="0.3">
      <c r="A129" s="22"/>
      <c r="B129" s="23"/>
      <c r="C129" s="43" t="str">
        <f t="shared" si="3"/>
        <v/>
      </c>
      <c r="D129" s="44" t="str">
        <f>IF(C129&lt;&gt;"",CONCATENATE(C129,"-",COUNTIF($C$4:C129,C129),""),"")</f>
        <v/>
      </c>
      <c r="E129" s="24"/>
      <c r="F129" s="24"/>
      <c r="G129" s="24"/>
      <c r="H129" s="24"/>
      <c r="I129" s="24"/>
      <c r="J129" s="24"/>
      <c r="K129" s="25"/>
    </row>
    <row r="130" spans="1:11" ht="293.25" customHeight="1" x14ac:dyDescent="0.3">
      <c r="A130" s="22"/>
      <c r="B130" s="23"/>
      <c r="C130" s="43" t="str">
        <f t="shared" si="3"/>
        <v/>
      </c>
      <c r="D130" s="44" t="str">
        <f>IF(C130&lt;&gt;"",CONCATENATE(C130,"-",COUNTIF($C$4:C130,C130),""),"")</f>
        <v/>
      </c>
      <c r="E130" s="24"/>
      <c r="F130" s="24"/>
      <c r="G130" s="24"/>
      <c r="H130" s="24"/>
      <c r="I130" s="24"/>
      <c r="J130" s="24"/>
      <c r="K130" s="25"/>
    </row>
    <row r="131" spans="1:11" ht="293.25" customHeight="1" x14ac:dyDescent="0.3">
      <c r="A131" s="22"/>
      <c r="B131" s="23"/>
      <c r="C131" s="43" t="str">
        <f t="shared" si="3"/>
        <v/>
      </c>
      <c r="D131" s="44" t="str">
        <f>IF(C131&lt;&gt;"",CONCATENATE(C131,"-",COUNTIF($C$4:C131,C131),""),"")</f>
        <v/>
      </c>
      <c r="E131" s="24"/>
      <c r="F131" s="24"/>
      <c r="G131" s="24"/>
      <c r="H131" s="24"/>
      <c r="I131" s="24"/>
      <c r="J131" s="24"/>
      <c r="K131" s="25"/>
    </row>
    <row r="132" spans="1:11" ht="293.25" customHeight="1" x14ac:dyDescent="0.3">
      <c r="A132" s="22"/>
      <c r="B132" s="23"/>
      <c r="C132" s="43" t="str">
        <f t="shared" si="3"/>
        <v/>
      </c>
      <c r="D132" s="44" t="str">
        <f>IF(C132&lt;&gt;"",CONCATENATE(C132,"-",COUNTIF($C$4:C132,C132),""),"")</f>
        <v/>
      </c>
      <c r="E132" s="24"/>
      <c r="F132" s="24"/>
      <c r="G132" s="24"/>
      <c r="H132" s="24"/>
      <c r="I132" s="24"/>
      <c r="J132" s="24"/>
      <c r="K132" s="25"/>
    </row>
    <row r="133" spans="1:11" ht="293.25" customHeight="1" x14ac:dyDescent="0.3">
      <c r="A133" s="22"/>
      <c r="B133" s="23"/>
      <c r="C133" s="43" t="str">
        <f t="shared" si="3"/>
        <v/>
      </c>
      <c r="D133" s="44" t="str">
        <f>IF(C133&lt;&gt;"",CONCATENATE(C133,"-",COUNTIF($C$4:C133,C133),""),"")</f>
        <v/>
      </c>
      <c r="E133" s="24"/>
      <c r="F133" s="24"/>
      <c r="G133" s="24"/>
      <c r="H133" s="24"/>
      <c r="I133" s="24"/>
      <c r="J133" s="24"/>
      <c r="K133" s="25"/>
    </row>
    <row r="134" spans="1:11" ht="293.25" customHeight="1" x14ac:dyDescent="0.3">
      <c r="A134" s="22"/>
      <c r="B134" s="23"/>
      <c r="C134" s="43" t="str">
        <f t="shared" si="3"/>
        <v/>
      </c>
      <c r="D134" s="44" t="str">
        <f>IF(C134&lt;&gt;"",CONCATENATE(C134,"-",COUNTIF($C$4:C134,C134),""),"")</f>
        <v/>
      </c>
      <c r="E134" s="24"/>
      <c r="F134" s="24"/>
      <c r="G134" s="24"/>
      <c r="H134" s="24"/>
      <c r="I134" s="24"/>
      <c r="J134" s="24"/>
      <c r="K134" s="25"/>
    </row>
    <row r="135" spans="1:11" ht="293.25" customHeight="1" x14ac:dyDescent="0.3">
      <c r="A135" s="22"/>
      <c r="B135" s="23"/>
      <c r="C135" s="43" t="str">
        <f t="shared" si="3"/>
        <v/>
      </c>
      <c r="D135" s="44" t="str">
        <f>IF(C135&lt;&gt;"",CONCATENATE(C135,"-",COUNTIF($C$4:C135,C135),""),"")</f>
        <v/>
      </c>
      <c r="E135" s="24"/>
      <c r="F135" s="24"/>
      <c r="G135" s="24"/>
      <c r="H135" s="24"/>
      <c r="I135" s="24"/>
      <c r="J135" s="24"/>
      <c r="K135" s="25"/>
    </row>
    <row r="136" spans="1:11" ht="293.25" customHeight="1" x14ac:dyDescent="0.3">
      <c r="A136" s="22"/>
      <c r="B136" s="23"/>
      <c r="C136" s="43" t="str">
        <f t="shared" si="3"/>
        <v/>
      </c>
      <c r="D136" s="44" t="str">
        <f>IF(C136&lt;&gt;"",CONCATENATE(C136,"-",COUNTIF($C$4:C136,C136),""),"")</f>
        <v/>
      </c>
      <c r="E136" s="24"/>
      <c r="F136" s="24"/>
      <c r="G136" s="24"/>
      <c r="H136" s="24"/>
      <c r="I136" s="24"/>
      <c r="J136" s="24"/>
      <c r="K136" s="25"/>
    </row>
    <row r="137" spans="1:11" ht="293.25" customHeight="1" x14ac:dyDescent="0.3">
      <c r="A137" s="22"/>
      <c r="B137" s="23"/>
      <c r="C137" s="43" t="str">
        <f t="shared" si="3"/>
        <v/>
      </c>
      <c r="D137" s="44" t="str">
        <f>IF(C137&lt;&gt;"",CONCATENATE(C137,"-",COUNTIF($C$4:C137,C137),""),"")</f>
        <v/>
      </c>
      <c r="E137" s="24"/>
      <c r="F137" s="24"/>
      <c r="G137" s="24"/>
      <c r="H137" s="24"/>
      <c r="I137" s="24"/>
      <c r="J137" s="24"/>
      <c r="K137" s="25"/>
    </row>
    <row r="138" spans="1:11" ht="293.25" customHeight="1" x14ac:dyDescent="0.3">
      <c r="A138" s="22"/>
      <c r="B138" s="23"/>
      <c r="C138" s="43" t="str">
        <f t="shared" si="3"/>
        <v/>
      </c>
      <c r="D138" s="44" t="str">
        <f>IF(C138&lt;&gt;"",CONCATENATE(C138,"-",COUNTIF($C$4:C138,C138),""),"")</f>
        <v/>
      </c>
      <c r="E138" s="24"/>
      <c r="F138" s="24"/>
      <c r="G138" s="24"/>
      <c r="H138" s="24"/>
      <c r="I138" s="24"/>
      <c r="J138" s="24"/>
      <c r="K138" s="25"/>
    </row>
    <row r="139" spans="1:11" ht="293.25" customHeight="1" x14ac:dyDescent="0.3">
      <c r="A139" s="22"/>
      <c r="B139" s="23"/>
      <c r="C139" s="43" t="str">
        <f t="shared" si="3"/>
        <v/>
      </c>
      <c r="D139" s="44" t="str">
        <f>IF(C139&lt;&gt;"",CONCATENATE(C139,"-",COUNTIF($C$4:C139,C139),""),"")</f>
        <v/>
      </c>
      <c r="E139" s="24"/>
      <c r="F139" s="24"/>
      <c r="G139" s="24"/>
      <c r="H139" s="24"/>
      <c r="I139" s="24"/>
      <c r="J139" s="24"/>
      <c r="K139" s="25"/>
    </row>
    <row r="140" spans="1:11" ht="293.25" customHeight="1" x14ac:dyDescent="0.3">
      <c r="A140" s="22"/>
      <c r="B140" s="23"/>
      <c r="C140" s="43" t="str">
        <f t="shared" si="3"/>
        <v/>
      </c>
      <c r="D140" s="44" t="str">
        <f>IF(C140&lt;&gt;"",CONCATENATE(C140,"-",COUNTIF($C$4:C140,C140),""),"")</f>
        <v/>
      </c>
      <c r="E140" s="24"/>
      <c r="F140" s="24"/>
      <c r="G140" s="24"/>
      <c r="H140" s="24"/>
      <c r="I140" s="24"/>
      <c r="J140" s="24"/>
      <c r="K140" s="25"/>
    </row>
    <row r="141" spans="1:11" ht="293.25" customHeight="1" x14ac:dyDescent="0.3">
      <c r="A141" s="22"/>
      <c r="B141" s="23"/>
      <c r="C141" s="43" t="str">
        <f t="shared" si="3"/>
        <v/>
      </c>
      <c r="D141" s="44" t="str">
        <f>IF(C141&lt;&gt;"",CONCATENATE(C141,"-",COUNTIF($C$4:C141,C141),""),"")</f>
        <v/>
      </c>
      <c r="E141" s="24"/>
      <c r="F141" s="24"/>
      <c r="G141" s="24"/>
      <c r="H141" s="24"/>
      <c r="I141" s="24"/>
      <c r="J141" s="24"/>
      <c r="K141" s="25"/>
    </row>
    <row r="142" spans="1:11" ht="293.25" customHeight="1" x14ac:dyDescent="0.3">
      <c r="A142" s="22"/>
      <c r="B142" s="23"/>
      <c r="C142" s="43" t="str">
        <f t="shared" si="3"/>
        <v/>
      </c>
      <c r="D142" s="44" t="str">
        <f>IF(C142&lt;&gt;"",CONCATENATE(C142,"-",COUNTIF($C$4:C142,C142),""),"")</f>
        <v/>
      </c>
      <c r="E142" s="24"/>
      <c r="F142" s="24"/>
      <c r="G142" s="24"/>
      <c r="H142" s="24"/>
      <c r="I142" s="24"/>
      <c r="J142" s="24"/>
      <c r="K142" s="25"/>
    </row>
    <row r="143" spans="1:11" ht="293.25" customHeight="1" x14ac:dyDescent="0.3">
      <c r="A143" s="22"/>
      <c r="B143" s="23"/>
      <c r="C143" s="43" t="str">
        <f t="shared" si="3"/>
        <v/>
      </c>
      <c r="D143" s="44" t="str">
        <f>IF(C143&lt;&gt;"",CONCATENATE(C143,"-",COUNTIF($C$4:C143,C143),""),"")</f>
        <v/>
      </c>
      <c r="E143" s="24"/>
      <c r="F143" s="24"/>
      <c r="G143" s="24"/>
      <c r="H143" s="24"/>
      <c r="I143" s="24"/>
      <c r="J143" s="24"/>
      <c r="K143" s="25"/>
    </row>
    <row r="144" spans="1:11" ht="293.25" customHeight="1" x14ac:dyDescent="0.3">
      <c r="A144" s="22"/>
      <c r="B144" s="23"/>
      <c r="C144" s="43" t="str">
        <f t="shared" si="3"/>
        <v/>
      </c>
      <c r="D144" s="44" t="str">
        <f>IF(C144&lt;&gt;"",CONCATENATE(C144,"-",COUNTIF($C$4:C144,C144),""),"")</f>
        <v/>
      </c>
      <c r="E144" s="24"/>
      <c r="F144" s="24"/>
      <c r="G144" s="24"/>
      <c r="H144" s="24"/>
      <c r="I144" s="24"/>
      <c r="J144" s="24"/>
      <c r="K144" s="25"/>
    </row>
    <row r="145" spans="1:11" ht="293.25" customHeight="1" x14ac:dyDescent="0.3">
      <c r="A145" s="22"/>
      <c r="B145" s="23"/>
      <c r="C145" s="43" t="str">
        <f t="shared" si="3"/>
        <v/>
      </c>
      <c r="D145" s="44" t="str">
        <f>IF(C145&lt;&gt;"",CONCATENATE(C145,"-",COUNTIF($C$4:C145,C145),""),"")</f>
        <v/>
      </c>
      <c r="E145" s="24"/>
      <c r="F145" s="24"/>
      <c r="G145" s="24"/>
      <c r="H145" s="24"/>
      <c r="I145" s="24"/>
      <c r="J145" s="24"/>
      <c r="K145" s="25"/>
    </row>
    <row r="146" spans="1:11" ht="293.25" customHeight="1" x14ac:dyDescent="0.3">
      <c r="A146" s="22"/>
      <c r="B146" s="23"/>
      <c r="C146" s="43" t="str">
        <f t="shared" si="3"/>
        <v/>
      </c>
      <c r="D146" s="44" t="str">
        <f>IF(C146&lt;&gt;"",CONCATENATE(C146,"-",COUNTIF($C$4:C146,C146),""),"")</f>
        <v/>
      </c>
      <c r="E146" s="24"/>
      <c r="F146" s="24"/>
      <c r="G146" s="24"/>
      <c r="H146" s="24"/>
      <c r="I146" s="24"/>
      <c r="J146" s="24"/>
      <c r="K146" s="25"/>
    </row>
    <row r="147" spans="1:11" ht="293.25" customHeight="1" x14ac:dyDescent="0.3">
      <c r="A147" s="22"/>
      <c r="B147" s="23"/>
      <c r="C147" s="43" t="str">
        <f t="shared" si="3"/>
        <v/>
      </c>
      <c r="D147" s="44" t="str">
        <f>IF(C147&lt;&gt;"",CONCATENATE(C147,"-",COUNTIF($C$4:C147,C147),""),"")</f>
        <v/>
      </c>
      <c r="E147" s="24"/>
      <c r="F147" s="24"/>
      <c r="G147" s="24"/>
      <c r="H147" s="24"/>
      <c r="I147" s="24"/>
      <c r="J147" s="24"/>
      <c r="K147" s="25"/>
    </row>
    <row r="148" spans="1:11" ht="293.25" customHeight="1" x14ac:dyDescent="0.3">
      <c r="A148" s="22"/>
      <c r="B148" s="23"/>
      <c r="C148" s="43" t="str">
        <f t="shared" si="3"/>
        <v/>
      </c>
      <c r="D148" s="44" t="str">
        <f>IF(C148&lt;&gt;"",CONCATENATE(C148,"-",COUNTIF($C$4:C148,C148),""),"")</f>
        <v/>
      </c>
      <c r="E148" s="24"/>
      <c r="F148" s="24"/>
      <c r="G148" s="24"/>
      <c r="H148" s="24"/>
      <c r="I148" s="24"/>
      <c r="J148" s="24"/>
      <c r="K148" s="25"/>
    </row>
    <row r="149" spans="1:11" ht="293.25" customHeight="1" x14ac:dyDescent="0.3">
      <c r="A149" s="22"/>
      <c r="B149" s="23"/>
      <c r="C149" s="43" t="str">
        <f t="shared" si="3"/>
        <v/>
      </c>
      <c r="D149" s="44" t="str">
        <f>IF(C149&lt;&gt;"",CONCATENATE(C149,"-",COUNTIF($C$4:C149,C149),""),"")</f>
        <v/>
      </c>
      <c r="E149" s="24"/>
      <c r="F149" s="24"/>
      <c r="G149" s="24"/>
      <c r="H149" s="24"/>
      <c r="I149" s="24"/>
      <c r="J149" s="24"/>
      <c r="K149" s="25"/>
    </row>
    <row r="150" spans="1:11" ht="293.25" customHeight="1" x14ac:dyDescent="0.3">
      <c r="A150" s="22"/>
      <c r="B150" s="23"/>
      <c r="C150" s="43" t="str">
        <f t="shared" si="3"/>
        <v/>
      </c>
      <c r="D150" s="44" t="str">
        <f>IF(C150&lt;&gt;"",CONCATENATE(C150,"-",COUNTIF($C$4:C150,C150),""),"")</f>
        <v/>
      </c>
      <c r="E150" s="24"/>
      <c r="F150" s="24"/>
      <c r="G150" s="24"/>
      <c r="H150" s="24"/>
      <c r="I150" s="24"/>
      <c r="J150" s="24"/>
      <c r="K150" s="25"/>
    </row>
    <row r="151" spans="1:11" ht="293.25" customHeight="1" x14ac:dyDescent="0.3">
      <c r="A151" s="22"/>
      <c r="B151" s="23"/>
      <c r="C151" s="43" t="str">
        <f t="shared" si="3"/>
        <v/>
      </c>
      <c r="D151" s="44" t="str">
        <f>IF(C151&lt;&gt;"",CONCATENATE(C151,"-",COUNTIF($C$4:C151,C151),""),"")</f>
        <v/>
      </c>
      <c r="E151" s="24"/>
      <c r="F151" s="24"/>
      <c r="G151" s="24"/>
      <c r="H151" s="24"/>
      <c r="I151" s="24"/>
      <c r="J151" s="24"/>
      <c r="K151" s="25"/>
    </row>
    <row r="152" spans="1:11" ht="293.25" customHeight="1" x14ac:dyDescent="0.3">
      <c r="A152" s="22"/>
      <c r="B152" s="23"/>
      <c r="C152" s="43" t="str">
        <f t="shared" si="3"/>
        <v/>
      </c>
      <c r="D152" s="44" t="str">
        <f>IF(C152&lt;&gt;"",CONCATENATE(C152,"-",COUNTIF($C$4:C152,C152),""),"")</f>
        <v/>
      </c>
      <c r="E152" s="24"/>
      <c r="F152" s="24"/>
      <c r="G152" s="24"/>
      <c r="H152" s="24"/>
      <c r="I152" s="24"/>
      <c r="J152" s="24"/>
      <c r="K152" s="25"/>
    </row>
    <row r="153" spans="1:11" ht="293.25" customHeight="1" x14ac:dyDescent="0.3">
      <c r="A153" s="40"/>
      <c r="B153" s="41"/>
      <c r="C153" s="43" t="str">
        <f t="shared" si="3"/>
        <v/>
      </c>
      <c r="D153" s="44" t="str">
        <f>IF(C153&lt;&gt;"",CONCATENATE(C153,"-",COUNTIF($C$4:C153,C153),""),"")</f>
        <v/>
      </c>
      <c r="E153" s="31"/>
      <c r="F153" s="31"/>
      <c r="G153" s="31"/>
      <c r="H153" s="31"/>
      <c r="I153" s="31"/>
      <c r="J153" s="31"/>
      <c r="K153" s="42"/>
    </row>
    <row r="154" spans="1:11" ht="293.25" customHeight="1" x14ac:dyDescent="0.3"/>
  </sheetData>
  <dataValidations count="1">
    <dataValidation type="whole" allowBlank="1" showInputMessage="1" showErrorMessage="1" sqref="B4:B153" xr:uid="{00000000-0002-0000-0400-000000000000}">
      <formula1>1</formula1>
      <formula2>100</formula2>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1" r:id="rId4" name="Button 3">
              <controlPr defaultSize="0" print="0" autoFill="0" autoPict="0" macro="[0]!Knop3_Klikken">
                <anchor moveWithCells="1" sizeWithCells="1">
                  <from>
                    <xdr:col>6</xdr:col>
                    <xdr:colOff>60960</xdr:colOff>
                    <xdr:row>0</xdr:row>
                    <xdr:rowOff>60960</xdr:rowOff>
                  </from>
                  <to>
                    <xdr:col>6</xdr:col>
                    <xdr:colOff>1562100</xdr:colOff>
                    <xdr:row>0</xdr:row>
                    <xdr:rowOff>335280</xdr:rowOff>
                  </to>
                </anchor>
              </controlPr>
            </control>
          </mc:Choice>
        </mc:AlternateContent>
        <mc:AlternateContent xmlns:mc="http://schemas.openxmlformats.org/markup-compatibility/2006">
          <mc:Choice Requires="x14">
            <control shapeId="2052" r:id="rId5" name="Button 4">
              <controlPr defaultSize="0" print="0" autoFill="0" autoPict="0" macro="[0]!Knop4_Klikken">
                <anchor moveWithCells="1" sizeWithCells="1">
                  <from>
                    <xdr:col>7</xdr:col>
                    <xdr:colOff>68580</xdr:colOff>
                    <xdr:row>0</xdr:row>
                    <xdr:rowOff>60960</xdr:rowOff>
                  </from>
                  <to>
                    <xdr:col>7</xdr:col>
                    <xdr:colOff>1569720</xdr:colOff>
                    <xdr:row>0</xdr:row>
                    <xdr:rowOff>335280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400-000001000000}">
          <x14:formula1>
            <xm:f>KerntakenEnWerkprocessen!$B$13:$B$27</xm:f>
          </x14:formula1>
          <xm:sqref>A4:A153</xm:sqref>
        </x14:dataValidation>
        <x14:dataValidation type="list" allowBlank="1" showInputMessage="1" showErrorMessage="1" xr:uid="{00000000-0002-0000-0400-000002000000}">
          <x14:formula1>
            <xm:f>Systeem!$B$3:$B$4</xm:f>
          </x14:formula1>
          <xm:sqref>K4:K153</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45DACA-A7DA-42AF-8EF5-89312717103C}">
  <sheetPr codeName="Blad5">
    <tabColor indexed="22"/>
    <pageSetUpPr fitToPage="1"/>
  </sheetPr>
  <dimension ref="A1:F37"/>
  <sheetViews>
    <sheetView workbookViewId="0">
      <selection activeCell="B18" sqref="B18:C18"/>
    </sheetView>
  </sheetViews>
  <sheetFormatPr defaultRowHeight="14.4" x14ac:dyDescent="0.3"/>
  <cols>
    <col min="1" max="1" width="33.21875" customWidth="1"/>
    <col min="2" max="3" width="33.5546875" customWidth="1"/>
    <col min="4" max="4" width="27.21875" customWidth="1"/>
  </cols>
  <sheetData>
    <row r="1" spans="1:6" ht="31.2" x14ac:dyDescent="0.6">
      <c r="A1" s="101" t="s">
        <v>16</v>
      </c>
      <c r="B1" s="101"/>
      <c r="C1" s="101"/>
    </row>
    <row r="3" spans="1:6" ht="24" customHeight="1" x14ac:dyDescent="0.3">
      <c r="A3" s="96" t="s">
        <v>17</v>
      </c>
      <c r="B3" s="97"/>
      <c r="C3" s="98"/>
    </row>
    <row r="4" spans="1:6" ht="2.25" customHeight="1" x14ac:dyDescent="0.3">
      <c r="A4" s="27"/>
      <c r="B4" s="35"/>
      <c r="C4" s="35"/>
    </row>
    <row r="5" spans="1:6" s="16" customFormat="1" ht="34.5" customHeight="1" x14ac:dyDescent="0.3">
      <c r="A5" s="51" t="s">
        <v>18</v>
      </c>
      <c r="B5" s="34" t="str">
        <f>KerntakenEnWerkprocessen!B4</f>
        <v>BF_SD_SD20_B1-K1_2</v>
      </c>
      <c r="C5" s="37">
        <f>KerntakenEnWerkprocessen!B3</f>
        <v>44131</v>
      </c>
    </row>
    <row r="6" spans="1:6" s="16" customFormat="1" ht="23.25" customHeight="1" x14ac:dyDescent="0.3">
      <c r="A6" s="52" t="s">
        <v>19</v>
      </c>
      <c r="B6" s="102" t="str">
        <f>KerntakenEnWerkprocessen!C6</f>
        <v>Praktijkexamen</v>
      </c>
      <c r="C6" s="103"/>
    </row>
    <row r="7" spans="1:6" s="16" customFormat="1" ht="23.25" customHeight="1" x14ac:dyDescent="0.3">
      <c r="A7" s="52" t="s">
        <v>21</v>
      </c>
      <c r="B7" s="102" t="str">
        <f>KerntakenEnWerkprocessen!C7</f>
        <v xml:space="preserve">SD_SD20_B1-K1_2v3 </v>
      </c>
      <c r="C7" s="103"/>
    </row>
    <row r="8" spans="1:6" s="16" customFormat="1" ht="23.25" customHeight="1" x14ac:dyDescent="0.3">
      <c r="A8" s="52" t="s">
        <v>22</v>
      </c>
      <c r="B8" s="102" t="str">
        <f>KerntakenEnWerkprocessen!B9</f>
        <v>P1: Software developer, 4</v>
      </c>
      <c r="C8" s="103"/>
    </row>
    <row r="9" spans="1:6" s="16" customFormat="1" ht="23.25" customHeight="1" x14ac:dyDescent="0.3">
      <c r="A9" s="52" t="s">
        <v>23</v>
      </c>
      <c r="B9" s="102" t="str">
        <f>KerntakenEnWerkprocessen!B8</f>
        <v>Softwaredevelopment</v>
      </c>
      <c r="C9" s="103"/>
    </row>
    <row r="10" spans="1:6" s="16" customFormat="1" ht="23.25" customHeight="1" x14ac:dyDescent="0.3">
      <c r="A10" s="52" t="s">
        <v>24</v>
      </c>
      <c r="B10" s="19" t="str">
        <f>KerntakenEnWerkprocessen!C8</f>
        <v>2020 en verder</v>
      </c>
      <c r="C10" s="19">
        <f>KerntakenEnWerkprocessen!C9</f>
        <v>25604</v>
      </c>
    </row>
    <row r="11" spans="1:6" s="32" customFormat="1" ht="23.25" customHeight="1" x14ac:dyDescent="0.3">
      <c r="A11" s="53" t="s">
        <v>25</v>
      </c>
      <c r="B11" s="100" t="str">
        <f>KerntakenEnWerkprocessen!C5</f>
        <v>Realiseert software</v>
      </c>
      <c r="C11" s="100"/>
    </row>
    <row r="12" spans="1:6" s="16" customFormat="1" ht="2.1" customHeight="1" x14ac:dyDescent="0.3">
      <c r="A12" s="54"/>
      <c r="B12" s="28"/>
      <c r="C12" s="29"/>
    </row>
    <row r="13" spans="1:6" ht="222.75" customHeight="1" x14ac:dyDescent="0.3">
      <c r="A13" s="55" t="s">
        <v>26</v>
      </c>
      <c r="B13" s="99" t="str">
        <f>KerntakenEnWerkprocessen!F2</f>
        <v xml:space="preserve">B1-K1-W1 Plant werkzaamheden en bewaakt de voortgang
B1-K1-W2 Ontwerpt software
B1-K1-W3 Realiseert (onderdelen van) software
B1-K1-W4 Test software
B1-K1-W5 Doet verbetervoorstellen voor de software
</v>
      </c>
      <c r="C13" s="99"/>
      <c r="F13" s="26"/>
    </row>
    <row r="15" spans="1:6" x14ac:dyDescent="0.3">
      <c r="A15" s="110" t="s">
        <v>36</v>
      </c>
      <c r="B15" s="111"/>
      <c r="C15" s="112"/>
    </row>
    <row r="16" spans="1:6" ht="13.5" customHeight="1" x14ac:dyDescent="0.3">
      <c r="A16" s="77" t="s">
        <v>37</v>
      </c>
      <c r="B16" s="113"/>
      <c r="C16" s="114"/>
      <c r="D16" s="78" t="s">
        <v>136</v>
      </c>
    </row>
    <row r="17" spans="1:4" x14ac:dyDescent="0.3">
      <c r="A17" s="77" t="s">
        <v>38</v>
      </c>
      <c r="B17" s="107" t="s">
        <v>211</v>
      </c>
      <c r="C17" s="108"/>
    </row>
    <row r="18" spans="1:4" x14ac:dyDescent="0.3">
      <c r="A18" s="77" t="s">
        <v>39</v>
      </c>
      <c r="B18" s="115">
        <v>9019234</v>
      </c>
      <c r="C18" s="116"/>
    </row>
    <row r="19" spans="1:4" x14ac:dyDescent="0.3">
      <c r="A19" s="77" t="s">
        <v>40</v>
      </c>
      <c r="B19" s="107"/>
      <c r="C19" s="108"/>
    </row>
    <row r="20" spans="1:4" x14ac:dyDescent="0.3">
      <c r="A20" s="77" t="s">
        <v>137</v>
      </c>
      <c r="B20" s="107"/>
      <c r="C20" s="108"/>
    </row>
    <row r="21" spans="1:4" x14ac:dyDescent="0.3">
      <c r="A21" s="77" t="s">
        <v>138</v>
      </c>
      <c r="B21" s="107"/>
      <c r="C21" s="108"/>
    </row>
    <row r="22" spans="1:4" ht="15" thickBot="1" x14ac:dyDescent="0.35"/>
    <row r="23" spans="1:4" ht="15" thickBot="1" x14ac:dyDescent="0.35">
      <c r="A23" s="95" t="s">
        <v>26</v>
      </c>
      <c r="B23" s="94" t="s">
        <v>139</v>
      </c>
      <c r="C23" s="109" t="s">
        <v>140</v>
      </c>
    </row>
    <row r="24" spans="1:4" x14ac:dyDescent="0.3">
      <c r="A24" s="77" t="s">
        <v>63</v>
      </c>
      <c r="B24" s="79">
        <f>'B1-K1-W1'!B45</f>
        <v>8.5</v>
      </c>
      <c r="C24" s="109"/>
    </row>
    <row r="25" spans="1:4" x14ac:dyDescent="0.3">
      <c r="A25" s="77" t="s">
        <v>65</v>
      </c>
      <c r="B25" s="79">
        <f>IF('B1-K1-W2'!E30=TRUE,'B1-K1-W2'!B46,"")</f>
        <v>9</v>
      </c>
      <c r="C25" s="109"/>
    </row>
    <row r="26" spans="1:4" x14ac:dyDescent="0.3">
      <c r="A26" s="77" t="s">
        <v>67</v>
      </c>
      <c r="B26" s="79">
        <f>IF('B1-K1-W3'!E33=TRUE,'B1-K1-W3'!B64,"")</f>
        <v>6</v>
      </c>
      <c r="C26" s="109"/>
    </row>
    <row r="27" spans="1:4" x14ac:dyDescent="0.3">
      <c r="A27" s="77" t="s">
        <v>69</v>
      </c>
      <c r="B27" s="79" t="str">
        <f>'B1-K1-W4'!B41</f>
        <v/>
      </c>
      <c r="C27" s="109"/>
    </row>
    <row r="28" spans="1:4" x14ac:dyDescent="0.3">
      <c r="A28" s="77" t="s">
        <v>71</v>
      </c>
      <c r="B28" s="79">
        <f>IF('B1-K1-W5'!E35=TRUE,'B1-K1-W5'!B52,"")</f>
        <v>5.5</v>
      </c>
      <c r="C28" s="109"/>
    </row>
    <row r="29" spans="1:4" x14ac:dyDescent="0.3">
      <c r="A29" s="16"/>
      <c r="B29" s="89"/>
      <c r="C29" s="88"/>
      <c r="D29" s="92"/>
    </row>
    <row r="30" spans="1:4" x14ac:dyDescent="0.3">
      <c r="A30" s="90" t="s">
        <v>141</v>
      </c>
      <c r="B30" s="91" t="str" cm="1">
        <f t="array" ref="B30">IF(OR(B24:B28&lt;5.5),1,IF(OR(B24:B28=""),"",(AVERAGE(B24:B28))))</f>
        <v/>
      </c>
      <c r="C30" s="88"/>
    </row>
    <row r="31" spans="1:4" ht="15" thickBot="1" x14ac:dyDescent="0.35"/>
    <row r="32" spans="1:4" x14ac:dyDescent="0.3">
      <c r="A32" s="95" t="s">
        <v>142</v>
      </c>
      <c r="B32" s="95" t="s">
        <v>143</v>
      </c>
    </row>
    <row r="33" spans="1:3" x14ac:dyDescent="0.3">
      <c r="A33" s="80"/>
      <c r="B33" s="80"/>
      <c r="C33" s="81"/>
    </row>
    <row r="34" spans="1:3" x14ac:dyDescent="0.3">
      <c r="A34" s="82"/>
      <c r="B34" s="82"/>
    </row>
    <row r="35" spans="1:3" x14ac:dyDescent="0.3">
      <c r="A35" s="82"/>
      <c r="B35" s="82"/>
    </row>
    <row r="36" spans="1:3" x14ac:dyDescent="0.3">
      <c r="A36" s="82"/>
      <c r="B36" s="82"/>
    </row>
    <row r="37" spans="1:3" ht="15" thickBot="1" x14ac:dyDescent="0.35">
      <c r="A37" s="83"/>
      <c r="B37" s="83"/>
    </row>
  </sheetData>
  <mergeCells count="16">
    <mergeCell ref="B9:C9"/>
    <mergeCell ref="B11:C11"/>
    <mergeCell ref="B13:C13"/>
    <mergeCell ref="A1:C1"/>
    <mergeCell ref="A3:C3"/>
    <mergeCell ref="B6:C6"/>
    <mergeCell ref="B7:C7"/>
    <mergeCell ref="B8:C8"/>
    <mergeCell ref="B20:C20"/>
    <mergeCell ref="B21:C21"/>
    <mergeCell ref="C23:C28"/>
    <mergeCell ref="A15:C15"/>
    <mergeCell ref="B16:C16"/>
    <mergeCell ref="B17:C17"/>
    <mergeCell ref="B18:C18"/>
    <mergeCell ref="B19:C19"/>
  </mergeCells>
  <conditionalFormatting sqref="B24:B28">
    <cfRule type="cellIs" dxfId="30" priority="1" operator="lessThan">
      <formula>5.5</formula>
    </cfRule>
  </conditionalFormatting>
  <pageMargins left="0.70866141732283472" right="0.70866141732283472" top="0.74803149606299213" bottom="0.74803149606299213" header="0.31496062992125984" footer="0.31496062992125984"/>
  <pageSetup paperSize="9" scale="87" orientation="portrait" r:id="rId1"/>
  <headerFooter>
    <oddFooter>&amp;L© Stichting Praktijkleren&amp;C[Examencode]&amp;R&amp;P/&amp;N</oddFoot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F4FB56-A918-4DE0-96EB-B114071FC79A}">
  <sheetPr codeName="Blad28">
    <tabColor indexed="22"/>
    <pageSetUpPr fitToPage="1"/>
  </sheetPr>
  <dimension ref="A1:O58"/>
  <sheetViews>
    <sheetView showGridLines="0" topLeftCell="B9" workbookViewId="0">
      <selection activeCell="C17" sqref="C17"/>
    </sheetView>
  </sheetViews>
  <sheetFormatPr defaultRowHeight="14.4" x14ac:dyDescent="0.3"/>
  <cols>
    <col min="1" max="1" width="18.21875" hidden="1" customWidth="1"/>
    <col min="2" max="2" width="20.21875" customWidth="1"/>
    <col min="3" max="3" width="17.21875" customWidth="1"/>
    <col min="4" max="7" width="23.77734375" style="8" customWidth="1"/>
    <col min="8" max="15" width="0" hidden="1" customWidth="1"/>
  </cols>
  <sheetData>
    <row r="1" spans="1:7" hidden="1" x14ac:dyDescent="0.3">
      <c r="A1" t="s">
        <v>27</v>
      </c>
      <c r="B1" s="6" t="s">
        <v>63</v>
      </c>
      <c r="C1" s="49" t="str">
        <f>VLOOKUP(B1,werkprocessen,2,FALSE)</f>
        <v>Plant werkzaamheden en bewaakt de voortgang</v>
      </c>
    </row>
    <row r="2" spans="1:7" hidden="1" x14ac:dyDescent="0.3">
      <c r="A2" t="s">
        <v>28</v>
      </c>
      <c r="B2" s="6">
        <f>VLOOKUP(B1,KerntakenEnWerkprocessen!B13:E27,3,FALSE)</f>
        <v>1</v>
      </c>
    </row>
    <row r="3" spans="1:7" hidden="1" x14ac:dyDescent="0.3">
      <c r="A3" t="s">
        <v>29</v>
      </c>
      <c r="B3" s="6">
        <f>VLOOKUP(B1,KerntakenEnWerkprocessen!B13:E27,4,FALSE)</f>
        <v>1</v>
      </c>
    </row>
    <row r="4" spans="1:7" hidden="1" x14ac:dyDescent="0.3">
      <c r="A4" t="s">
        <v>30</v>
      </c>
      <c r="B4" s="6">
        <f>SUM(N:N)</f>
        <v>12</v>
      </c>
      <c r="C4" s="48" t="s">
        <v>31</v>
      </c>
      <c r="D4" s="47" t="b">
        <f>IF(SUM(O:O)&gt;0,TRUE,FALSE)</f>
        <v>1</v>
      </c>
    </row>
    <row r="5" spans="1:7" hidden="1" x14ac:dyDescent="0.3">
      <c r="A5" t="s">
        <v>32</v>
      </c>
      <c r="B5" s="6">
        <f>SUM(M:M)</f>
        <v>10</v>
      </c>
    </row>
    <row r="6" spans="1:7" hidden="1" x14ac:dyDescent="0.3">
      <c r="A6" t="s">
        <v>33</v>
      </c>
      <c r="B6" s="6">
        <f>COUNTIF(N:N,1)</f>
        <v>0</v>
      </c>
    </row>
    <row r="7" spans="1:7" hidden="1" x14ac:dyDescent="0.3">
      <c r="A7" t="s">
        <v>34</v>
      </c>
      <c r="B7" s="6">
        <f>COUNTIF(N:N,2)+COUNTIF(N:N,3)</f>
        <v>4</v>
      </c>
    </row>
    <row r="8" spans="1:7" hidden="1" x14ac:dyDescent="0.3">
      <c r="A8" t="s">
        <v>35</v>
      </c>
      <c r="B8" s="6">
        <f>0.5*B4</f>
        <v>6</v>
      </c>
    </row>
    <row r="10" spans="1:7" ht="36.75" customHeight="1" x14ac:dyDescent="0.6">
      <c r="B10" s="104" t="str">
        <f>CONCATENATE(kerntaakCode,": ",kerntaakNaam)</f>
        <v>B1-K1: Realiseert software</v>
      </c>
      <c r="C10" s="104"/>
      <c r="D10" s="104"/>
      <c r="E10" s="104"/>
      <c r="F10" s="104"/>
      <c r="G10" s="104"/>
    </row>
    <row r="11" spans="1:7" ht="28.5" customHeight="1" x14ac:dyDescent="0.5">
      <c r="B11" s="105" t="str">
        <f>CONCATENATE(VLOOKUP(B1,werkprocessen,1,FALSE),": ",C1)</f>
        <v>B1-K1-W1: Plant werkzaamheden en bewaakt de voortgang</v>
      </c>
      <c r="C11" s="105"/>
      <c r="D11" s="105"/>
      <c r="E11" s="105"/>
      <c r="F11" s="105"/>
      <c r="G11" s="105"/>
    </row>
    <row r="13" spans="1:7" ht="24" customHeight="1" x14ac:dyDescent="0.3">
      <c r="B13" s="96" t="s">
        <v>36</v>
      </c>
      <c r="C13" s="97"/>
      <c r="D13" s="97"/>
      <c r="E13" s="97"/>
      <c r="F13" s="97"/>
      <c r="G13" s="98"/>
    </row>
    <row r="14" spans="1:7" ht="22.5" customHeight="1" x14ac:dyDescent="0.3">
      <c r="B14" s="56" t="s">
        <v>37</v>
      </c>
      <c r="C14" s="85" t="str">
        <f>IF(Voorblad!B16="","",Voorblad!B16)</f>
        <v/>
      </c>
      <c r="D14" s="9"/>
      <c r="E14" s="9"/>
      <c r="F14" s="9"/>
      <c r="G14" s="13"/>
    </row>
    <row r="15" spans="1:7" ht="22.5" customHeight="1" x14ac:dyDescent="0.3">
      <c r="B15" s="56" t="s">
        <v>38</v>
      </c>
      <c r="C15" s="86" t="str">
        <f>IF(Voorblad!B17="","",Voorblad!B17)</f>
        <v>Rohan Dayal</v>
      </c>
      <c r="D15" s="10"/>
      <c r="E15" s="10"/>
      <c r="F15" s="10"/>
      <c r="G15" s="14"/>
    </row>
    <row r="16" spans="1:7" ht="22.5" customHeight="1" x14ac:dyDescent="0.3">
      <c r="B16" s="56" t="s">
        <v>39</v>
      </c>
      <c r="C16" s="87">
        <f>IF(Voorblad!B18="","",Voorblad!B18)</f>
        <v>9019234</v>
      </c>
      <c r="D16" s="10"/>
      <c r="E16" s="10"/>
      <c r="F16" s="10"/>
      <c r="G16" s="14"/>
    </row>
    <row r="17" spans="1:15" ht="22.5" customHeight="1" x14ac:dyDescent="0.3">
      <c r="B17" s="56" t="s">
        <v>40</v>
      </c>
      <c r="C17" s="84" t="s">
        <v>213</v>
      </c>
      <c r="D17" s="10"/>
      <c r="E17" s="10"/>
      <c r="F17" s="10"/>
      <c r="G17" s="14"/>
    </row>
    <row r="18" spans="1:15" ht="22.5" customHeight="1" x14ac:dyDescent="0.3">
      <c r="B18" s="77" t="s">
        <v>137</v>
      </c>
      <c r="C18" s="84" t="s">
        <v>212</v>
      </c>
      <c r="D18" s="10"/>
      <c r="E18" s="10"/>
      <c r="F18" s="10"/>
      <c r="G18" s="14"/>
    </row>
    <row r="19" spans="1:15" ht="22.5" customHeight="1" x14ac:dyDescent="0.3">
      <c r="B19" s="77" t="s">
        <v>138</v>
      </c>
      <c r="C19" s="84" t="s">
        <v>212</v>
      </c>
      <c r="D19" s="10"/>
      <c r="E19" s="10"/>
      <c r="F19" s="10"/>
      <c r="G19" s="14"/>
    </row>
    <row r="20" spans="1:15" ht="23.25" customHeight="1" x14ac:dyDescent="0.3"/>
    <row r="21" spans="1:15" ht="24" customHeight="1" x14ac:dyDescent="0.3">
      <c r="B21" s="118" t="s">
        <v>144</v>
      </c>
      <c r="C21" s="118"/>
      <c r="D21" s="118"/>
      <c r="E21" s="118"/>
      <c r="F21" s="118"/>
      <c r="G21" s="118"/>
    </row>
    <row r="22" spans="1:15" hidden="1" x14ac:dyDescent="0.3">
      <c r="A22" t="s">
        <v>145</v>
      </c>
      <c r="B22" s="59">
        <v>1</v>
      </c>
      <c r="D22" s="8" t="s">
        <v>146</v>
      </c>
      <c r="E22" s="60" t="s">
        <v>147</v>
      </c>
      <c r="G22" s="8" t="s">
        <v>148</v>
      </c>
      <c r="H22" s="59">
        <f>COUNTIF(Beheersingsniveaus!$C$4:$C$154,$E22)</f>
        <v>4</v>
      </c>
    </row>
    <row r="23" spans="1:15" x14ac:dyDescent="0.3">
      <c r="A23" t="s">
        <v>78</v>
      </c>
      <c r="B23" s="61" t="s">
        <v>149</v>
      </c>
      <c r="C23" s="61" t="s">
        <v>80</v>
      </c>
      <c r="D23" s="61">
        <v>0</v>
      </c>
      <c r="E23" s="61">
        <v>1</v>
      </c>
      <c r="F23" s="61">
        <v>2</v>
      </c>
      <c r="G23" s="61">
        <v>3</v>
      </c>
      <c r="H23" t="s">
        <v>85</v>
      </c>
      <c r="I23" t="s">
        <v>150</v>
      </c>
      <c r="J23" t="s">
        <v>151</v>
      </c>
      <c r="K23" t="s">
        <v>152</v>
      </c>
      <c r="L23" t="s">
        <v>153</v>
      </c>
      <c r="M23" t="s">
        <v>32</v>
      </c>
      <c r="N23" t="s">
        <v>30</v>
      </c>
      <c r="O23" t="s">
        <v>154</v>
      </c>
    </row>
    <row r="24" spans="1:15" ht="145.05000000000001" customHeight="1" x14ac:dyDescent="0.3">
      <c r="A24" s="63" t="s">
        <v>155</v>
      </c>
      <c r="B24" s="64" t="str">
        <f>VLOOKUP($A24,Beheersingsniveaus!$D$4:$K$154,2,FALSE)</f>
        <v>T1, T2, T3, T4</v>
      </c>
      <c r="C24" s="64" t="str">
        <f>CONCATENATE(VLOOKUP($A24,Beheersingsniveaus!$D$4:$K$154,3,FALSE),IF($H24=ja,"*",""))</f>
        <v xml:space="preserve">Eisen/wensen user stories </v>
      </c>
      <c r="D24" s="65" t="str">
        <f>VLOOKUP($A24,Beheersingsniveaus!$D$4:$K$154,4,FALSE)</f>
        <v>De uitgangspunten zijn juist verwerkt (Definition of done) en de eisen en wensen zijn verwerkt in de user stories.
Niet of nauwelijks</v>
      </c>
      <c r="E24" s="65" t="str">
        <f>VLOOKUP($A24,Beheersingsniveaus!$D$4:$K$154,5,FALSE)</f>
        <v>Weinig</v>
      </c>
      <c r="F24" s="65" t="str">
        <f>VLOOKUP($A24,Beheersingsniveaus!$D$4:$K$154,6,FALSE)</f>
        <v>Grotendeels</v>
      </c>
      <c r="G24" s="65" t="str">
        <f>VLOOKUP($A24,Beheersingsniveaus!$D$4:$K$154,7,FALSE)</f>
        <v>Volledig</v>
      </c>
      <c r="H24" s="59">
        <f>VLOOKUP($A24,Beheersingsniveaus!$D$4:$K$154,8,FALSE)</f>
        <v>0</v>
      </c>
      <c r="I24" s="59"/>
      <c r="J24" s="59"/>
      <c r="K24" s="59" t="b">
        <v>0</v>
      </c>
      <c r="L24" s="59" t="b">
        <v>1</v>
      </c>
      <c r="M24" s="59">
        <f>IF(L24=TRUE,3,IF(K24=TRUE,2,IF(J24=TRUE,1,IF(I24=TRUE,0,0))))</f>
        <v>3</v>
      </c>
      <c r="N24" s="59">
        <f>(4-COUNTBLANK(D24:G24))-1</f>
        <v>3</v>
      </c>
      <c r="O24" s="59">
        <f>COUNTA(I24:L24)</f>
        <v>2</v>
      </c>
    </row>
    <row r="25" spans="1:15" ht="115.05" customHeight="1" x14ac:dyDescent="0.3">
      <c r="A25" s="63" t="s">
        <v>156</v>
      </c>
      <c r="B25" s="64" t="str">
        <f>VLOOKUP($A25,Beheersingsniveaus!$D$4:$K$154,2,FALSE)</f>
        <v>T1, T2, T3, T4</v>
      </c>
      <c r="C25" s="64" t="str">
        <f>CONCATENATE(VLOOKUP($A25,Beheersingsniveaus!$D$4:$K$154,3,FALSE),IF($H25=ja,"*",""))</f>
        <v>Criteria user stories</v>
      </c>
      <c r="D25" s="65" t="str">
        <f>VLOOKUP($A25,Beheersingsniveaus!$D$4:$K$154,4,FALSE)</f>
        <v>De user stories voldoen aan de criteria (wie, wat, waarom en realistisch).
Niet of nauwelijks</v>
      </c>
      <c r="E25" s="65" t="str">
        <f>VLOOKUP($A25,Beheersingsniveaus!$D$4:$K$154,5,FALSE)</f>
        <v>Weinig</v>
      </c>
      <c r="F25" s="65" t="str">
        <f>VLOOKUP($A25,Beheersingsniveaus!$D$4:$K$154,6,FALSE)</f>
        <v>Grotendeels</v>
      </c>
      <c r="G25" s="65" t="str">
        <f>VLOOKUP($A25,Beheersingsniveaus!$D$4:$K$154,7,FALSE)</f>
        <v>Volledig</v>
      </c>
      <c r="H25" s="59">
        <f>VLOOKUP($A25,Beheersingsniveaus!$D$4:$K$154,8,FALSE)</f>
        <v>0</v>
      </c>
      <c r="I25" s="59"/>
      <c r="J25" s="59" t="b">
        <v>0</v>
      </c>
      <c r="K25" s="59" t="b">
        <v>1</v>
      </c>
      <c r="L25" s="59" t="b">
        <v>0</v>
      </c>
      <c r="M25" s="59">
        <f>IF(L25=TRUE,3,IF(K25=TRUE,2,IF(J25=TRUE,1,IF(I25=TRUE,0,0))))</f>
        <v>2</v>
      </c>
      <c r="N25" s="59">
        <f>(4-COUNTBLANK(D25:G25))-1</f>
        <v>3</v>
      </c>
      <c r="O25" s="59">
        <f>COUNTA(I25:L25)</f>
        <v>3</v>
      </c>
    </row>
    <row r="26" spans="1:15" ht="115.05" customHeight="1" x14ac:dyDescent="0.3">
      <c r="A26" s="63" t="s">
        <v>157</v>
      </c>
      <c r="B26" s="64" t="str">
        <f>VLOOKUP($A26,Beheersingsniveaus!$D$4:$K$154,2,FALSE)</f>
        <v>T1, T2, T3, T4</v>
      </c>
      <c r="C26" s="64" t="str">
        <f>CONCATENATE(VLOOKUP($A26,Beheersingsniveaus!$D$4:$K$154,3,FALSE),IF($H26=ja,"*",""))</f>
        <v>Planning maken</v>
      </c>
      <c r="D26" s="65" t="str">
        <f>VLOOKUP($A26,Beheersingsniveaus!$D$4:$K$154,4,FALSE)</f>
        <v>Op basis van de user stories is een complete en realistische planning gemaakt,
Niet of nauwelijks</v>
      </c>
      <c r="E26" s="65" t="str">
        <f>VLOOKUP($A26,Beheersingsniveaus!$D$4:$K$154,5,FALSE)</f>
        <v>Weinig</v>
      </c>
      <c r="F26" s="65" t="str">
        <f>VLOOKUP($A26,Beheersingsniveaus!$D$4:$K$154,6,FALSE)</f>
        <v>Grotendeels</v>
      </c>
      <c r="G26" s="65" t="str">
        <f>VLOOKUP($A26,Beheersingsniveaus!$D$4:$K$154,7,FALSE)</f>
        <v>Volledig</v>
      </c>
      <c r="H26" s="59">
        <f>VLOOKUP($A26,Beheersingsniveaus!$D$4:$K$154,8,FALSE)</f>
        <v>0</v>
      </c>
      <c r="I26" s="59"/>
      <c r="J26" s="59" t="b">
        <v>0</v>
      </c>
      <c r="K26" s="59" t="b">
        <v>1</v>
      </c>
      <c r="L26" s="59"/>
      <c r="M26" s="59">
        <f>IF(L26=TRUE,3,IF(K26=TRUE,2,IF(J26=TRUE,1,IF(I26=TRUE,0,0))))</f>
        <v>2</v>
      </c>
      <c r="N26" s="59">
        <f>(4-COUNTBLANK(D26:G26))-1</f>
        <v>3</v>
      </c>
      <c r="O26" s="59">
        <f>COUNTA(I26:L26)</f>
        <v>2</v>
      </c>
    </row>
    <row r="27" spans="1:15" ht="130.05000000000001" customHeight="1" x14ac:dyDescent="0.3">
      <c r="A27" s="63" t="s">
        <v>158</v>
      </c>
      <c r="B27" s="64" t="str">
        <f>VLOOKUP($A27,Beheersingsniveaus!$D$4:$K$154,2,FALSE)</f>
        <v>T1, T2, T3, T4</v>
      </c>
      <c r="C27" s="64" t="str">
        <f>CONCATENATE(VLOOKUP($A27,Beheersingsniveaus!$D$4:$K$154,3,FALSE),IF($H27=ja,"*",""))</f>
        <v>Voortgang bewaken</v>
      </c>
      <c r="D27" s="65" t="str">
        <f>VLOOKUP($A27,Beheersingsniveaus!$D$4:$K$154,4,FALSE)</f>
        <v>De voortgang is bewaakt en de juiste keuzes/afwegingen zijn gemaakt op basis van prioriteiten.
Niet of nauwelijks</v>
      </c>
      <c r="E27" s="65" t="str">
        <f>VLOOKUP($A27,Beheersingsniveaus!$D$4:$K$154,5,FALSE)</f>
        <v>Enigszins</v>
      </c>
      <c r="F27" s="65" t="str">
        <f>VLOOKUP($A27,Beheersingsniveaus!$D$4:$K$154,6,FALSE)</f>
        <v>Grotendeels</v>
      </c>
      <c r="G27" s="65" t="str">
        <f>VLOOKUP($A27,Beheersingsniveaus!$D$4:$K$154,7,FALSE)</f>
        <v>Volledig</v>
      </c>
      <c r="H27" s="59">
        <f>VLOOKUP($A27,Beheersingsniveaus!$D$4:$K$154,8,FALSE)</f>
        <v>0</v>
      </c>
      <c r="I27" s="59"/>
      <c r="J27" s="59" t="b">
        <v>0</v>
      </c>
      <c r="K27" s="59" t="b">
        <v>0</v>
      </c>
      <c r="L27" s="59" t="b">
        <v>1</v>
      </c>
      <c r="M27" s="59">
        <f>IF(L27=TRUE,3,IF(K27=TRUE,2,IF(J27=TRUE,1,IF(I27=TRUE,0,0))))</f>
        <v>3</v>
      </c>
      <c r="N27" s="59">
        <f>(4-COUNTBLANK(D27:G27))-1</f>
        <v>3</v>
      </c>
      <c r="O27" s="59">
        <f>COUNTA(I27:L27)</f>
        <v>3</v>
      </c>
    </row>
    <row r="29" spans="1:15" ht="28.5" customHeight="1" x14ac:dyDescent="0.5">
      <c r="B29" s="119" t="s">
        <v>159</v>
      </c>
      <c r="C29" s="120"/>
      <c r="D29" s="120"/>
      <c r="E29" s="120"/>
      <c r="F29" s="120"/>
      <c r="G29" s="120"/>
    </row>
    <row r="30" spans="1:15" ht="26.1" customHeight="1" x14ac:dyDescent="0.3">
      <c r="B30" s="66" t="s">
        <v>160</v>
      </c>
    </row>
    <row r="31" spans="1:15" x14ac:dyDescent="0.3">
      <c r="B31" s="68" t="s">
        <v>161</v>
      </c>
      <c r="C31" s="68" t="s">
        <v>162</v>
      </c>
      <c r="D31" s="93" t="s">
        <v>163</v>
      </c>
    </row>
    <row r="32" spans="1:15" x14ac:dyDescent="0.3">
      <c r="B32" s="69">
        <v>0</v>
      </c>
      <c r="C32" s="70">
        <f t="shared" ref="C32:C44" si="0">ROUNDUP(IF(B32&lt;$B$8,4.5/$B$8*B32+1,4.5/($B$4-$B$8)*(B32-$B$8)+5.5),1)</f>
        <v>1</v>
      </c>
      <c r="D32" s="62"/>
    </row>
    <row r="33" spans="2:4" x14ac:dyDescent="0.3">
      <c r="B33" s="69">
        <v>1</v>
      </c>
      <c r="C33" s="70">
        <f t="shared" si="0"/>
        <v>1.8</v>
      </c>
      <c r="D33" s="62" t="str">
        <f t="shared" ref="D33:D44" si="1">IF($B33=$B$5,"X","")</f>
        <v/>
      </c>
    </row>
    <row r="34" spans="2:4" x14ac:dyDescent="0.3">
      <c r="B34" s="69">
        <v>2</v>
      </c>
      <c r="C34" s="70">
        <f t="shared" si="0"/>
        <v>2.5</v>
      </c>
      <c r="D34" s="62" t="str">
        <f t="shared" si="1"/>
        <v/>
      </c>
    </row>
    <row r="35" spans="2:4" x14ac:dyDescent="0.3">
      <c r="B35" s="69">
        <v>3</v>
      </c>
      <c r="C35" s="70">
        <f t="shared" si="0"/>
        <v>3.3000000000000003</v>
      </c>
      <c r="D35" s="62" t="str">
        <f t="shared" si="1"/>
        <v/>
      </c>
    </row>
    <row r="36" spans="2:4" x14ac:dyDescent="0.3">
      <c r="B36" s="69">
        <v>4</v>
      </c>
      <c r="C36" s="70">
        <f t="shared" si="0"/>
        <v>4</v>
      </c>
      <c r="D36" s="62" t="str">
        <f t="shared" si="1"/>
        <v/>
      </c>
    </row>
    <row r="37" spans="2:4" x14ac:dyDescent="0.3">
      <c r="B37" s="69">
        <v>5</v>
      </c>
      <c r="C37" s="70">
        <f t="shared" si="0"/>
        <v>4.8</v>
      </c>
      <c r="D37" s="62" t="str">
        <f t="shared" si="1"/>
        <v/>
      </c>
    </row>
    <row r="38" spans="2:4" x14ac:dyDescent="0.3">
      <c r="B38" s="69">
        <v>6</v>
      </c>
      <c r="C38" s="70">
        <f t="shared" si="0"/>
        <v>5.5</v>
      </c>
      <c r="D38" s="62" t="str">
        <f t="shared" si="1"/>
        <v/>
      </c>
    </row>
    <row r="39" spans="2:4" x14ac:dyDescent="0.3">
      <c r="B39" s="69">
        <v>7</v>
      </c>
      <c r="C39" s="70">
        <f t="shared" si="0"/>
        <v>6.3</v>
      </c>
      <c r="D39" s="62" t="str">
        <f t="shared" si="1"/>
        <v/>
      </c>
    </row>
    <row r="40" spans="2:4" x14ac:dyDescent="0.3">
      <c r="B40" s="69">
        <v>8</v>
      </c>
      <c r="C40" s="70">
        <f t="shared" si="0"/>
        <v>7</v>
      </c>
      <c r="D40" s="62" t="str">
        <f t="shared" si="1"/>
        <v/>
      </c>
    </row>
    <row r="41" spans="2:4" x14ac:dyDescent="0.3">
      <c r="B41" s="69">
        <v>9</v>
      </c>
      <c r="C41" s="70">
        <f t="shared" si="0"/>
        <v>7.8</v>
      </c>
      <c r="D41" s="62" t="str">
        <f t="shared" si="1"/>
        <v/>
      </c>
    </row>
    <row r="42" spans="2:4" x14ac:dyDescent="0.3">
      <c r="B42" s="69">
        <v>10</v>
      </c>
      <c r="C42" s="70">
        <f t="shared" si="0"/>
        <v>8.5</v>
      </c>
      <c r="D42" s="62" t="str">
        <f t="shared" si="1"/>
        <v>X</v>
      </c>
    </row>
    <row r="43" spans="2:4" x14ac:dyDescent="0.3">
      <c r="B43" s="69">
        <v>11</v>
      </c>
      <c r="C43" s="70">
        <f t="shared" si="0"/>
        <v>9.2999999999999989</v>
      </c>
      <c r="D43" s="62" t="str">
        <f t="shared" si="1"/>
        <v/>
      </c>
    </row>
    <row r="44" spans="2:4" x14ac:dyDescent="0.3">
      <c r="B44" s="69">
        <v>12</v>
      </c>
      <c r="C44" s="70">
        <f t="shared" si="0"/>
        <v>10</v>
      </c>
      <c r="D44" s="62" t="str">
        <f t="shared" si="1"/>
        <v/>
      </c>
    </row>
    <row r="45" spans="2:4" hidden="1" x14ac:dyDescent="0.3">
      <c r="B45" s="69">
        <f>IF(D32="X","",IF(D33="X",C33,IF(D34="X",C34,IF(D35="X",C35,IF(D36="X",C36,IF(D37="X",C37,IF(D38="X",C38,IF(D39="X",C39,IF(D40="X",C40,IF(D41="X",C41,IF(D42="X",C42,IF(D43="X",C43,IF(D44="X",C44,"")))))))))))))</f>
        <v>8.5</v>
      </c>
      <c r="C45" s="70"/>
      <c r="D45" s="62"/>
    </row>
    <row r="47" spans="2:4" ht="26.1" customHeight="1" x14ac:dyDescent="0.3">
      <c r="B47" s="66" t="s">
        <v>164</v>
      </c>
    </row>
    <row r="48" spans="2:4" x14ac:dyDescent="0.3">
      <c r="B48" t="s">
        <v>165</v>
      </c>
    </row>
    <row r="49" spans="2:7" ht="35.1" customHeight="1" x14ac:dyDescent="0.3">
      <c r="B49" s="121" t="s">
        <v>7</v>
      </c>
      <c r="C49" s="121"/>
      <c r="D49" s="121"/>
      <c r="E49" s="121"/>
      <c r="F49" s="121"/>
      <c r="G49" s="121"/>
    </row>
    <row r="50" spans="2:7" ht="300" customHeight="1" x14ac:dyDescent="0.3">
      <c r="B50" s="117"/>
      <c r="C50" s="117"/>
      <c r="D50" s="117"/>
      <c r="E50" s="117"/>
      <c r="F50" s="117"/>
      <c r="G50" s="117"/>
    </row>
    <row r="52" spans="2:7" ht="26.1" customHeight="1" x14ac:dyDescent="0.3">
      <c r="B52" s="66" t="s">
        <v>134</v>
      </c>
    </row>
    <row r="53" spans="2:7" x14ac:dyDescent="0.3">
      <c r="B53" s="71" t="s">
        <v>166</v>
      </c>
    </row>
    <row r="54" spans="2:7" x14ac:dyDescent="0.3">
      <c r="B54" t="s">
        <v>167</v>
      </c>
    </row>
    <row r="57" spans="2:7" x14ac:dyDescent="0.3">
      <c r="B57" t="s">
        <v>168</v>
      </c>
    </row>
    <row r="58" spans="2:7" ht="50.1" customHeight="1" x14ac:dyDescent="0.3">
      <c r="B58" s="117"/>
      <c r="C58" s="117"/>
      <c r="D58" s="117"/>
      <c r="E58" s="117"/>
      <c r="F58" s="117"/>
      <c r="G58" s="117"/>
    </row>
  </sheetData>
  <mergeCells count="8">
    <mergeCell ref="B50:G50"/>
    <mergeCell ref="B58:G58"/>
    <mergeCell ref="B10:G10"/>
    <mergeCell ref="B11:G11"/>
    <mergeCell ref="B13:G13"/>
    <mergeCell ref="B21:G21"/>
    <mergeCell ref="B29:G29"/>
    <mergeCell ref="B49:G49"/>
  </mergeCells>
  <conditionalFormatting sqref="B24:G24">
    <cfRule type="expression" dxfId="29" priority="1" stopIfTrue="1">
      <formula>COUNTIF($I24:$L24,TRUE)&gt;1</formula>
    </cfRule>
  </conditionalFormatting>
  <conditionalFormatting sqref="B25:G25">
    <cfRule type="expression" dxfId="28" priority="2" stopIfTrue="1">
      <formula>COUNTIF($I25:$L25,TRUE)&gt;1</formula>
    </cfRule>
  </conditionalFormatting>
  <conditionalFormatting sqref="B26:G26">
    <cfRule type="expression" dxfId="27" priority="3" stopIfTrue="1">
      <formula>COUNTIF($I26:$L26,TRUE)&gt;1</formula>
    </cfRule>
  </conditionalFormatting>
  <conditionalFormatting sqref="B27:G27">
    <cfRule type="expression" dxfId="26" priority="4" stopIfTrue="1">
      <formula>COUNTIF($I27:$L27,TRUE)&gt;1</formula>
    </cfRule>
  </conditionalFormatting>
  <conditionalFormatting sqref="B32:C45">
    <cfRule type="expression" dxfId="25" priority="5" stopIfTrue="1">
      <formula>$D$4=FALSE</formula>
    </cfRule>
  </conditionalFormatting>
  <conditionalFormatting sqref="D31:D45">
    <cfRule type="expression" dxfId="24" priority="6" stopIfTrue="1">
      <formula>$D$4=FALSE</formula>
    </cfRule>
  </conditionalFormatting>
  <pageMargins left="0.70866141732283472" right="0.70866141732283472" top="0.74803149606299213" bottom="0.74803149606299213" header="0.31496062992125984" footer="0.31496062992125984"/>
  <pageSetup paperSize="9" scale="65" fitToHeight="0" orientation="portrait" r:id="rId1"/>
  <headerFooter>
    <oddFooter>&amp;L© Stichting Praktijkleren&amp;C[Examencode]&amp;R&amp;P/&amp;N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4274" r:id="rId4" name="Check Box 2">
              <controlPr defaultSize="0" autoFill="0" autoLine="0" autoPict="0" macro="[0]!'OnClickCheckbox 24'">
                <anchor moveWithCells="1">
                  <from>
                    <xdr:col>3</xdr:col>
                    <xdr:colOff>0</xdr:colOff>
                    <xdr:row>23</xdr:row>
                    <xdr:rowOff>0</xdr:rowOff>
                  </from>
                  <to>
                    <xdr:col>4</xdr:col>
                    <xdr:colOff>0</xdr:colOff>
                    <xdr:row>23</xdr:row>
                    <xdr:rowOff>213360</xdr:rowOff>
                  </to>
                </anchor>
              </controlPr>
            </control>
          </mc:Choice>
        </mc:AlternateContent>
        <mc:AlternateContent xmlns:mc="http://schemas.openxmlformats.org/markup-compatibility/2006">
          <mc:Choice Requires="x14">
            <control shapeId="54275" r:id="rId5" name="Check Box 3">
              <controlPr defaultSize="0" autoFill="0" autoLine="0" autoPict="0" macro="[0]!'OnClickCheckbox 24'">
                <anchor moveWithCells="1">
                  <from>
                    <xdr:col>4</xdr:col>
                    <xdr:colOff>0</xdr:colOff>
                    <xdr:row>23</xdr:row>
                    <xdr:rowOff>0</xdr:rowOff>
                  </from>
                  <to>
                    <xdr:col>5</xdr:col>
                    <xdr:colOff>0</xdr:colOff>
                    <xdr:row>23</xdr:row>
                    <xdr:rowOff>213360</xdr:rowOff>
                  </to>
                </anchor>
              </controlPr>
            </control>
          </mc:Choice>
        </mc:AlternateContent>
        <mc:AlternateContent xmlns:mc="http://schemas.openxmlformats.org/markup-compatibility/2006">
          <mc:Choice Requires="x14">
            <control shapeId="54276" r:id="rId6" name="Check Box 4">
              <controlPr defaultSize="0" autoFill="0" autoLine="0" autoPict="0" macro="[0]!'OnClickCheckbox 24'">
                <anchor moveWithCells="1">
                  <from>
                    <xdr:col>5</xdr:col>
                    <xdr:colOff>0</xdr:colOff>
                    <xdr:row>23</xdr:row>
                    <xdr:rowOff>0</xdr:rowOff>
                  </from>
                  <to>
                    <xdr:col>6</xdr:col>
                    <xdr:colOff>0</xdr:colOff>
                    <xdr:row>23</xdr:row>
                    <xdr:rowOff>213360</xdr:rowOff>
                  </to>
                </anchor>
              </controlPr>
            </control>
          </mc:Choice>
        </mc:AlternateContent>
        <mc:AlternateContent xmlns:mc="http://schemas.openxmlformats.org/markup-compatibility/2006">
          <mc:Choice Requires="x14">
            <control shapeId="54277" r:id="rId7" name="Check Box 5">
              <controlPr defaultSize="0" autoFill="0" autoLine="0" autoPict="0" macro="[0]!'OnClickCheckbox 24'">
                <anchor moveWithCells="1">
                  <from>
                    <xdr:col>6</xdr:col>
                    <xdr:colOff>0</xdr:colOff>
                    <xdr:row>23</xdr:row>
                    <xdr:rowOff>0</xdr:rowOff>
                  </from>
                  <to>
                    <xdr:col>7</xdr:col>
                    <xdr:colOff>0</xdr:colOff>
                    <xdr:row>23</xdr:row>
                    <xdr:rowOff>213360</xdr:rowOff>
                  </to>
                </anchor>
              </controlPr>
            </control>
          </mc:Choice>
        </mc:AlternateContent>
        <mc:AlternateContent xmlns:mc="http://schemas.openxmlformats.org/markup-compatibility/2006">
          <mc:Choice Requires="x14">
            <control shapeId="54278" r:id="rId8" name="Check Box 6">
              <controlPr defaultSize="0" autoFill="0" autoLine="0" autoPict="0" macro="[0]!'OnClickCheckbox 25'">
                <anchor moveWithCells="1">
                  <from>
                    <xdr:col>3</xdr:col>
                    <xdr:colOff>0</xdr:colOff>
                    <xdr:row>24</xdr:row>
                    <xdr:rowOff>0</xdr:rowOff>
                  </from>
                  <to>
                    <xdr:col>4</xdr:col>
                    <xdr:colOff>0</xdr:colOff>
                    <xdr:row>24</xdr:row>
                    <xdr:rowOff>213360</xdr:rowOff>
                  </to>
                </anchor>
              </controlPr>
            </control>
          </mc:Choice>
        </mc:AlternateContent>
        <mc:AlternateContent xmlns:mc="http://schemas.openxmlformats.org/markup-compatibility/2006">
          <mc:Choice Requires="x14">
            <control shapeId="54279" r:id="rId9" name="Check Box 7">
              <controlPr defaultSize="0" autoFill="0" autoLine="0" autoPict="0" macro="[0]!'OnClickCheckbox 25'">
                <anchor moveWithCells="1">
                  <from>
                    <xdr:col>4</xdr:col>
                    <xdr:colOff>0</xdr:colOff>
                    <xdr:row>24</xdr:row>
                    <xdr:rowOff>0</xdr:rowOff>
                  </from>
                  <to>
                    <xdr:col>5</xdr:col>
                    <xdr:colOff>0</xdr:colOff>
                    <xdr:row>24</xdr:row>
                    <xdr:rowOff>213360</xdr:rowOff>
                  </to>
                </anchor>
              </controlPr>
            </control>
          </mc:Choice>
        </mc:AlternateContent>
        <mc:AlternateContent xmlns:mc="http://schemas.openxmlformats.org/markup-compatibility/2006">
          <mc:Choice Requires="x14">
            <control shapeId="54280" r:id="rId10" name="Check Box 8">
              <controlPr defaultSize="0" autoFill="0" autoLine="0" autoPict="0" macro="[0]!'OnClickCheckbox 25'">
                <anchor moveWithCells="1">
                  <from>
                    <xdr:col>5</xdr:col>
                    <xdr:colOff>0</xdr:colOff>
                    <xdr:row>24</xdr:row>
                    <xdr:rowOff>0</xdr:rowOff>
                  </from>
                  <to>
                    <xdr:col>6</xdr:col>
                    <xdr:colOff>0</xdr:colOff>
                    <xdr:row>24</xdr:row>
                    <xdr:rowOff>213360</xdr:rowOff>
                  </to>
                </anchor>
              </controlPr>
            </control>
          </mc:Choice>
        </mc:AlternateContent>
        <mc:AlternateContent xmlns:mc="http://schemas.openxmlformats.org/markup-compatibility/2006">
          <mc:Choice Requires="x14">
            <control shapeId="54281" r:id="rId11" name="Check Box 9">
              <controlPr defaultSize="0" autoFill="0" autoLine="0" autoPict="0" macro="[0]!'OnClickCheckbox 25'">
                <anchor moveWithCells="1">
                  <from>
                    <xdr:col>6</xdr:col>
                    <xdr:colOff>0</xdr:colOff>
                    <xdr:row>24</xdr:row>
                    <xdr:rowOff>0</xdr:rowOff>
                  </from>
                  <to>
                    <xdr:col>7</xdr:col>
                    <xdr:colOff>0</xdr:colOff>
                    <xdr:row>24</xdr:row>
                    <xdr:rowOff>213360</xdr:rowOff>
                  </to>
                </anchor>
              </controlPr>
            </control>
          </mc:Choice>
        </mc:AlternateContent>
        <mc:AlternateContent xmlns:mc="http://schemas.openxmlformats.org/markup-compatibility/2006">
          <mc:Choice Requires="x14">
            <control shapeId="54282" r:id="rId12" name="Check Box 10">
              <controlPr defaultSize="0" autoFill="0" autoLine="0" autoPict="0" macro="[0]!'OnClickCheckbox 26'">
                <anchor moveWithCells="1">
                  <from>
                    <xdr:col>3</xdr:col>
                    <xdr:colOff>0</xdr:colOff>
                    <xdr:row>25</xdr:row>
                    <xdr:rowOff>0</xdr:rowOff>
                  </from>
                  <to>
                    <xdr:col>4</xdr:col>
                    <xdr:colOff>0</xdr:colOff>
                    <xdr:row>25</xdr:row>
                    <xdr:rowOff>213360</xdr:rowOff>
                  </to>
                </anchor>
              </controlPr>
            </control>
          </mc:Choice>
        </mc:AlternateContent>
        <mc:AlternateContent xmlns:mc="http://schemas.openxmlformats.org/markup-compatibility/2006">
          <mc:Choice Requires="x14">
            <control shapeId="54283" r:id="rId13" name="Check Box 11">
              <controlPr defaultSize="0" autoFill="0" autoLine="0" autoPict="0" macro="[0]!'OnClickCheckbox 26'">
                <anchor moveWithCells="1">
                  <from>
                    <xdr:col>4</xdr:col>
                    <xdr:colOff>0</xdr:colOff>
                    <xdr:row>25</xdr:row>
                    <xdr:rowOff>0</xdr:rowOff>
                  </from>
                  <to>
                    <xdr:col>5</xdr:col>
                    <xdr:colOff>0</xdr:colOff>
                    <xdr:row>25</xdr:row>
                    <xdr:rowOff>213360</xdr:rowOff>
                  </to>
                </anchor>
              </controlPr>
            </control>
          </mc:Choice>
        </mc:AlternateContent>
        <mc:AlternateContent xmlns:mc="http://schemas.openxmlformats.org/markup-compatibility/2006">
          <mc:Choice Requires="x14">
            <control shapeId="54284" r:id="rId14" name="Check Box 12">
              <controlPr defaultSize="0" autoFill="0" autoLine="0" autoPict="0" macro="[0]!'OnClickCheckbox 26'">
                <anchor moveWithCells="1">
                  <from>
                    <xdr:col>5</xdr:col>
                    <xdr:colOff>0</xdr:colOff>
                    <xdr:row>25</xdr:row>
                    <xdr:rowOff>0</xdr:rowOff>
                  </from>
                  <to>
                    <xdr:col>6</xdr:col>
                    <xdr:colOff>0</xdr:colOff>
                    <xdr:row>25</xdr:row>
                    <xdr:rowOff>213360</xdr:rowOff>
                  </to>
                </anchor>
              </controlPr>
            </control>
          </mc:Choice>
        </mc:AlternateContent>
        <mc:AlternateContent xmlns:mc="http://schemas.openxmlformats.org/markup-compatibility/2006">
          <mc:Choice Requires="x14">
            <control shapeId="54285" r:id="rId15" name="Check Box 13">
              <controlPr defaultSize="0" autoFill="0" autoLine="0" autoPict="0" macro="[0]!'OnClickCheckbox 26'">
                <anchor moveWithCells="1">
                  <from>
                    <xdr:col>6</xdr:col>
                    <xdr:colOff>0</xdr:colOff>
                    <xdr:row>25</xdr:row>
                    <xdr:rowOff>0</xdr:rowOff>
                  </from>
                  <to>
                    <xdr:col>7</xdr:col>
                    <xdr:colOff>0</xdr:colOff>
                    <xdr:row>25</xdr:row>
                    <xdr:rowOff>213360</xdr:rowOff>
                  </to>
                </anchor>
              </controlPr>
            </control>
          </mc:Choice>
        </mc:AlternateContent>
        <mc:AlternateContent xmlns:mc="http://schemas.openxmlformats.org/markup-compatibility/2006">
          <mc:Choice Requires="x14">
            <control shapeId="54286" r:id="rId16" name="Check Box 14">
              <controlPr defaultSize="0" autoFill="0" autoLine="0" autoPict="0" macro="[0]!'OnClickCheckbox 27'">
                <anchor moveWithCells="1">
                  <from>
                    <xdr:col>3</xdr:col>
                    <xdr:colOff>0</xdr:colOff>
                    <xdr:row>26</xdr:row>
                    <xdr:rowOff>0</xdr:rowOff>
                  </from>
                  <to>
                    <xdr:col>4</xdr:col>
                    <xdr:colOff>0</xdr:colOff>
                    <xdr:row>26</xdr:row>
                    <xdr:rowOff>213360</xdr:rowOff>
                  </to>
                </anchor>
              </controlPr>
            </control>
          </mc:Choice>
        </mc:AlternateContent>
        <mc:AlternateContent xmlns:mc="http://schemas.openxmlformats.org/markup-compatibility/2006">
          <mc:Choice Requires="x14">
            <control shapeId="54287" r:id="rId17" name="Check Box 15">
              <controlPr defaultSize="0" autoFill="0" autoLine="0" autoPict="0" macro="[0]!'OnClickCheckbox 27'">
                <anchor moveWithCells="1">
                  <from>
                    <xdr:col>4</xdr:col>
                    <xdr:colOff>0</xdr:colOff>
                    <xdr:row>26</xdr:row>
                    <xdr:rowOff>0</xdr:rowOff>
                  </from>
                  <to>
                    <xdr:col>5</xdr:col>
                    <xdr:colOff>0</xdr:colOff>
                    <xdr:row>26</xdr:row>
                    <xdr:rowOff>213360</xdr:rowOff>
                  </to>
                </anchor>
              </controlPr>
            </control>
          </mc:Choice>
        </mc:AlternateContent>
        <mc:AlternateContent xmlns:mc="http://schemas.openxmlformats.org/markup-compatibility/2006">
          <mc:Choice Requires="x14">
            <control shapeId="54288" r:id="rId18" name="Check Box 16">
              <controlPr defaultSize="0" autoFill="0" autoLine="0" autoPict="0" macro="[0]!'OnClickCheckbox 27'">
                <anchor moveWithCells="1">
                  <from>
                    <xdr:col>5</xdr:col>
                    <xdr:colOff>0</xdr:colOff>
                    <xdr:row>26</xdr:row>
                    <xdr:rowOff>0</xdr:rowOff>
                  </from>
                  <to>
                    <xdr:col>6</xdr:col>
                    <xdr:colOff>0</xdr:colOff>
                    <xdr:row>26</xdr:row>
                    <xdr:rowOff>213360</xdr:rowOff>
                  </to>
                </anchor>
              </controlPr>
            </control>
          </mc:Choice>
        </mc:AlternateContent>
        <mc:AlternateContent xmlns:mc="http://schemas.openxmlformats.org/markup-compatibility/2006">
          <mc:Choice Requires="x14">
            <control shapeId="54289" r:id="rId19" name="Check Box 17">
              <controlPr defaultSize="0" autoFill="0" autoLine="0" autoPict="0" macro="[0]!'OnClickCheckbox 27'">
                <anchor moveWithCells="1">
                  <from>
                    <xdr:col>6</xdr:col>
                    <xdr:colOff>0</xdr:colOff>
                    <xdr:row>26</xdr:row>
                    <xdr:rowOff>0</xdr:rowOff>
                  </from>
                  <to>
                    <xdr:col>7</xdr:col>
                    <xdr:colOff>0</xdr:colOff>
                    <xdr:row>26</xdr:row>
                    <xdr:rowOff>213360</xdr:rowOff>
                  </to>
                </anchor>
              </controlPr>
            </control>
          </mc:Choice>
        </mc:AlternateContent>
        <mc:AlternateContent xmlns:mc="http://schemas.openxmlformats.org/markup-compatibility/2006">
          <mc:Choice Requires="x14">
            <control shapeId="54290" r:id="rId20" name="Check Box 18">
              <controlPr defaultSize="0" autoFill="0" autoLine="0" autoPict="0">
                <anchor moveWithCells="1">
                  <from>
                    <xdr:col>1</xdr:col>
                    <xdr:colOff>0</xdr:colOff>
                    <xdr:row>54</xdr:row>
                    <xdr:rowOff>0</xdr:rowOff>
                  </from>
                  <to>
                    <xdr:col>2</xdr:col>
                    <xdr:colOff>0</xdr:colOff>
                    <xdr:row>55</xdr:row>
                    <xdr:rowOff>22860</xdr:rowOff>
                  </to>
                </anchor>
              </controlPr>
            </control>
          </mc:Choice>
        </mc:AlternateContent>
        <mc:AlternateContent xmlns:mc="http://schemas.openxmlformats.org/markup-compatibility/2006">
          <mc:Choice Requires="x14">
            <control shapeId="54291" r:id="rId21" name="Check Box 19">
              <controlPr defaultSize="0" autoFill="0" autoLine="0" autoPict="0">
                <anchor moveWithCells="1">
                  <from>
                    <xdr:col>2</xdr:col>
                    <xdr:colOff>0</xdr:colOff>
                    <xdr:row>54</xdr:row>
                    <xdr:rowOff>0</xdr:rowOff>
                  </from>
                  <to>
                    <xdr:col>3</xdr:col>
                    <xdr:colOff>190500</xdr:colOff>
                    <xdr:row>55</xdr:row>
                    <xdr:rowOff>22860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24ED07-AF79-470F-A63D-214D4D0C3270}">
  <sheetPr codeName="Blad29">
    <tabColor indexed="22"/>
    <pageSetUpPr fitToPage="1"/>
  </sheetPr>
  <dimension ref="A1:O59"/>
  <sheetViews>
    <sheetView showGridLines="0" topLeftCell="B9" workbookViewId="0">
      <selection activeCell="C17" sqref="C17"/>
    </sheetView>
  </sheetViews>
  <sheetFormatPr defaultRowHeight="14.4" x14ac:dyDescent="0.3"/>
  <cols>
    <col min="1" max="1" width="18.21875" hidden="1" customWidth="1"/>
    <col min="2" max="2" width="20.21875" customWidth="1"/>
    <col min="3" max="3" width="17.21875" customWidth="1"/>
    <col min="4" max="7" width="23.77734375" style="8" customWidth="1"/>
    <col min="8" max="15" width="0" hidden="1" customWidth="1"/>
  </cols>
  <sheetData>
    <row r="1" spans="1:7" hidden="1" x14ac:dyDescent="0.3">
      <c r="A1" t="s">
        <v>27</v>
      </c>
      <c r="B1" s="6" t="s">
        <v>65</v>
      </c>
      <c r="C1" s="49" t="str">
        <f>VLOOKUP(B1,werkprocessen,2,FALSE)</f>
        <v>Ontwerpt software</v>
      </c>
    </row>
    <row r="2" spans="1:7" hidden="1" x14ac:dyDescent="0.3">
      <c r="A2" t="s">
        <v>28</v>
      </c>
      <c r="B2" s="6">
        <f>VLOOKUP(B1,KerntakenEnWerkprocessen!B13:E27,3,FALSE)</f>
        <v>2</v>
      </c>
    </row>
    <row r="3" spans="1:7" hidden="1" x14ac:dyDescent="0.3">
      <c r="A3" t="s">
        <v>29</v>
      </c>
      <c r="B3" s="6">
        <f>VLOOKUP(B1,KerntakenEnWerkprocessen!B13:E27,4,FALSE)</f>
        <v>2</v>
      </c>
    </row>
    <row r="4" spans="1:7" hidden="1" x14ac:dyDescent="0.3">
      <c r="A4" t="s">
        <v>30</v>
      </c>
      <c r="B4" s="6">
        <f>SUM(N:N)</f>
        <v>9</v>
      </c>
      <c r="C4" s="48" t="s">
        <v>31</v>
      </c>
      <c r="D4" s="47" t="b">
        <f>IF(SUM(O:O)&gt;0,TRUE,FALSE)</f>
        <v>1</v>
      </c>
    </row>
    <row r="5" spans="1:7" hidden="1" x14ac:dyDescent="0.3">
      <c r="A5" t="s">
        <v>32</v>
      </c>
      <c r="B5" s="6">
        <f>SUM(M:M)</f>
        <v>8</v>
      </c>
    </row>
    <row r="6" spans="1:7" hidden="1" x14ac:dyDescent="0.3">
      <c r="A6" t="s">
        <v>33</v>
      </c>
      <c r="B6" s="6">
        <f>COUNTIF(N:N,1)</f>
        <v>0</v>
      </c>
    </row>
    <row r="7" spans="1:7" hidden="1" x14ac:dyDescent="0.3">
      <c r="A7" t="s">
        <v>34</v>
      </c>
      <c r="B7" s="6">
        <f>COUNTIF(N:N,2)+COUNTIF(N:N,3)</f>
        <v>3</v>
      </c>
    </row>
    <row r="8" spans="1:7" hidden="1" x14ac:dyDescent="0.3">
      <c r="A8" t="s">
        <v>35</v>
      </c>
      <c r="B8" s="6">
        <f>0.5*B4</f>
        <v>4.5</v>
      </c>
    </row>
    <row r="10" spans="1:7" ht="36.75" customHeight="1" x14ac:dyDescent="0.6">
      <c r="B10" s="104" t="str">
        <f>CONCATENATE(kerntaakCode,": ",kerntaakNaam)</f>
        <v>B1-K1: Realiseert software</v>
      </c>
      <c r="C10" s="104"/>
      <c r="D10" s="104"/>
      <c r="E10" s="104"/>
      <c r="F10" s="104"/>
      <c r="G10" s="104"/>
    </row>
    <row r="11" spans="1:7" ht="28.5" customHeight="1" x14ac:dyDescent="0.5">
      <c r="B11" s="105" t="str">
        <f>CONCATENATE(VLOOKUP(B1,werkprocessen,1,FALSE),": ",C1)</f>
        <v>B1-K1-W2: Ontwerpt software</v>
      </c>
      <c r="C11" s="105"/>
      <c r="D11" s="105"/>
      <c r="E11" s="105"/>
      <c r="F11" s="105"/>
      <c r="G11" s="105"/>
    </row>
    <row r="13" spans="1:7" ht="24" customHeight="1" x14ac:dyDescent="0.3">
      <c r="B13" s="96" t="s">
        <v>36</v>
      </c>
      <c r="C13" s="97"/>
      <c r="D13" s="97"/>
      <c r="E13" s="97"/>
      <c r="F13" s="97"/>
      <c r="G13" s="98"/>
    </row>
    <row r="14" spans="1:7" ht="22.5" customHeight="1" x14ac:dyDescent="0.3">
      <c r="B14" s="56" t="s">
        <v>37</v>
      </c>
      <c r="C14" s="85" t="str">
        <f>IF(Voorblad!B16="","",Voorblad!B16)</f>
        <v/>
      </c>
      <c r="D14" s="9"/>
      <c r="E14" s="9"/>
      <c r="F14" s="9"/>
      <c r="G14" s="13"/>
    </row>
    <row r="15" spans="1:7" ht="22.5" customHeight="1" x14ac:dyDescent="0.3">
      <c r="B15" s="56" t="s">
        <v>38</v>
      </c>
      <c r="C15" s="86" t="str">
        <f>IF(Voorblad!B17="","",Voorblad!B17)</f>
        <v>Rohan Dayal</v>
      </c>
      <c r="D15" s="10"/>
      <c r="E15" s="10"/>
      <c r="F15" s="10"/>
      <c r="G15" s="14"/>
    </row>
    <row r="16" spans="1:7" ht="22.5" customHeight="1" x14ac:dyDescent="0.3">
      <c r="B16" s="56" t="s">
        <v>39</v>
      </c>
      <c r="C16" s="87">
        <f>IF(Voorblad!B18="","",Voorblad!B18)</f>
        <v>9019234</v>
      </c>
      <c r="D16" s="10"/>
      <c r="E16" s="10"/>
      <c r="F16" s="10"/>
      <c r="G16" s="14"/>
    </row>
    <row r="17" spans="1:15" ht="22.5" customHeight="1" x14ac:dyDescent="0.3">
      <c r="B17" s="56" t="s">
        <v>40</v>
      </c>
      <c r="C17" s="84" t="s">
        <v>213</v>
      </c>
      <c r="D17" s="10"/>
      <c r="E17" s="10"/>
      <c r="F17" s="10"/>
      <c r="G17" s="14"/>
    </row>
    <row r="18" spans="1:15" ht="22.5" customHeight="1" x14ac:dyDescent="0.3">
      <c r="B18" s="77" t="s">
        <v>137</v>
      </c>
      <c r="C18" s="84" t="s">
        <v>212</v>
      </c>
      <c r="D18" s="10"/>
      <c r="E18" s="10"/>
      <c r="F18" s="10"/>
      <c r="G18" s="14"/>
    </row>
    <row r="19" spans="1:15" ht="22.5" customHeight="1" x14ac:dyDescent="0.3">
      <c r="B19" s="77" t="s">
        <v>138</v>
      </c>
      <c r="C19" s="84" t="s">
        <v>212</v>
      </c>
      <c r="D19" s="10"/>
      <c r="E19" s="10"/>
      <c r="F19" s="10"/>
      <c r="G19" s="14"/>
    </row>
    <row r="20" spans="1:15" ht="23.25" customHeight="1" x14ac:dyDescent="0.3"/>
    <row r="21" spans="1:15" ht="24" customHeight="1" x14ac:dyDescent="0.3">
      <c r="B21" s="118" t="s">
        <v>169</v>
      </c>
      <c r="C21" s="118"/>
      <c r="D21" s="118"/>
      <c r="E21" s="118"/>
      <c r="F21" s="118"/>
      <c r="G21" s="118"/>
    </row>
    <row r="22" spans="1:15" hidden="1" x14ac:dyDescent="0.3">
      <c r="A22" t="s">
        <v>145</v>
      </c>
      <c r="B22" s="59">
        <v>2</v>
      </c>
      <c r="D22" s="8" t="s">
        <v>146</v>
      </c>
      <c r="E22" s="60" t="s">
        <v>170</v>
      </c>
      <c r="G22" s="8" t="s">
        <v>148</v>
      </c>
      <c r="H22" s="59">
        <f>COUNTIF(Beheersingsniveaus!$C$4:$C$154,$E22)</f>
        <v>3</v>
      </c>
    </row>
    <row r="23" spans="1:15" x14ac:dyDescent="0.3">
      <c r="A23" t="s">
        <v>78</v>
      </c>
      <c r="B23" s="61" t="s">
        <v>149</v>
      </c>
      <c r="C23" s="61" t="s">
        <v>80</v>
      </c>
      <c r="D23" s="61">
        <v>0</v>
      </c>
      <c r="E23" s="61">
        <v>1</v>
      </c>
      <c r="F23" s="61">
        <v>2</v>
      </c>
      <c r="G23" s="61">
        <v>3</v>
      </c>
      <c r="H23" t="s">
        <v>85</v>
      </c>
      <c r="I23" t="s">
        <v>150</v>
      </c>
      <c r="J23" t="s">
        <v>151</v>
      </c>
      <c r="K23" t="s">
        <v>152</v>
      </c>
      <c r="L23" t="s">
        <v>153</v>
      </c>
      <c r="M23" t="s">
        <v>32</v>
      </c>
      <c r="N23" t="s">
        <v>30</v>
      </c>
      <c r="O23" t="s">
        <v>154</v>
      </c>
    </row>
    <row r="24" spans="1:15" ht="130.05000000000001" customHeight="1" x14ac:dyDescent="0.3">
      <c r="A24" s="63" t="s">
        <v>171</v>
      </c>
      <c r="B24" s="64" t="str">
        <f>VLOOKUP($A24,Beheersingsniveaus!$D$4:$K$154,2,FALSE)</f>
        <v>T4</v>
      </c>
      <c r="C24" s="64" t="str">
        <f>CONCATENATE(VLOOKUP($A24,Beheersingsniveaus!$D$4:$K$154,3,FALSE),IF($H24=ja,"*",""))</f>
        <v>Ontwerp*</v>
      </c>
      <c r="D24" s="65" t="str">
        <f>VLOOKUP($A24,Beheersingsniveaus!$D$4:$K$154,4,FALSE)</f>
        <v>De user stories zijn vertaald naar een passend, eenduidig en volledig ontwerp (sluit aan op wensen en eisen).
Niet of nauwelijks</v>
      </c>
      <c r="E24" s="65" t="str">
        <f>VLOOKUP($A24,Beheersingsniveaus!$D$4:$K$154,5,FALSE)</f>
        <v>Enigszins</v>
      </c>
      <c r="F24" s="65" t="str">
        <f>VLOOKUP($A24,Beheersingsniveaus!$D$4:$K$154,6,FALSE)</f>
        <v>Grotendeels</v>
      </c>
      <c r="G24" s="65" t="str">
        <f>VLOOKUP($A24,Beheersingsniveaus!$D$4:$K$154,7,FALSE)</f>
        <v>Volledig</v>
      </c>
      <c r="H24" s="59" t="str">
        <f>VLOOKUP($A24,Beheersingsniveaus!$D$4:$K$154,8,FALSE)</f>
        <v>Ja</v>
      </c>
      <c r="I24" s="59"/>
      <c r="J24" s="59" t="b">
        <v>0</v>
      </c>
      <c r="K24" s="59" t="b">
        <v>0</v>
      </c>
      <c r="L24" s="59" t="b">
        <v>1</v>
      </c>
      <c r="M24" s="59">
        <f>IF(L24=TRUE,3,IF(K24=TRUE,2,IF(J24=TRUE,1,IF(I24=TRUE,0,0))))</f>
        <v>3</v>
      </c>
      <c r="N24" s="59">
        <f>(4-COUNTBLANK(D24:G24))-1</f>
        <v>3</v>
      </c>
      <c r="O24" s="59">
        <f>COUNTA(I24:L24)</f>
        <v>3</v>
      </c>
    </row>
    <row r="25" spans="1:15" ht="190.05" customHeight="1" x14ac:dyDescent="0.3">
      <c r="A25" s="63" t="s">
        <v>172</v>
      </c>
      <c r="B25" s="64" t="str">
        <f>VLOOKUP($A25,Beheersingsniveaus!$D$4:$K$154,2,FALSE)</f>
        <v>T4</v>
      </c>
      <c r="C25" s="64" t="str">
        <f>CONCATENATE(VLOOKUP($A25,Beheersingsniveaus!$D$4:$K$154,3,FALSE),IF($H25=ja,"*",""))</f>
        <v>Schema-technieken</v>
      </c>
      <c r="D25" s="65" t="str">
        <f>VLOOKUP($A25,Beheersingsniveaus!$D$4:$K$154,4,FALSE)</f>
        <v>Er is gebruik gemaakt van relevante of toepasselijke schematechnieken (bijv. activiteitendiagram, klassendiagram, ERD, use case diagram).
Niet of nauwelijks</v>
      </c>
      <c r="E25" s="65" t="str">
        <f>VLOOKUP($A25,Beheersingsniveaus!$D$4:$K$154,5,FALSE)</f>
        <v>Enigszins</v>
      </c>
      <c r="F25" s="65" t="str">
        <f>VLOOKUP($A25,Beheersingsniveaus!$D$4:$K$154,6,FALSE)</f>
        <v>Grotendeels</v>
      </c>
      <c r="G25" s="65" t="str">
        <f>VLOOKUP($A25,Beheersingsniveaus!$D$4:$K$154,7,FALSE)</f>
        <v>Volledig</v>
      </c>
      <c r="H25" s="59">
        <f>VLOOKUP($A25,Beheersingsniveaus!$D$4:$K$154,8,FALSE)</f>
        <v>0</v>
      </c>
      <c r="I25" s="59" t="b">
        <v>0</v>
      </c>
      <c r="J25" s="59"/>
      <c r="K25" s="59" t="b">
        <v>0</v>
      </c>
      <c r="L25" s="59" t="b">
        <v>1</v>
      </c>
      <c r="M25" s="59">
        <f>IF(L25=TRUE,3,IF(K25=TRUE,2,IF(J25=TRUE,1,IF(I25=TRUE,0,0))))</f>
        <v>3</v>
      </c>
      <c r="N25" s="59">
        <f>(4-COUNTBLANK(D25:G25))-1</f>
        <v>3</v>
      </c>
      <c r="O25" s="59">
        <f>COUNTA(I25:L25)</f>
        <v>3</v>
      </c>
    </row>
    <row r="26" spans="1:15" ht="175.05" customHeight="1" x14ac:dyDescent="0.3">
      <c r="A26" s="63" t="s">
        <v>173</v>
      </c>
      <c r="B26" s="64" t="str">
        <f>VLOOKUP($A26,Beheersingsniveaus!$D$4:$K$154,2,FALSE)</f>
        <v>T4</v>
      </c>
      <c r="C26" s="64" t="str">
        <f>CONCATENATE(VLOOKUP($A26,Beheersingsniveaus!$D$4:$K$154,3,FALSE),IF($H26=ja,"*",""))</f>
        <v>Onderbouwing</v>
      </c>
      <c r="D26" s="65" t="str">
        <f>VLOOKUP($A26,Beheersingsniveaus!$D$4:$K$154,4,FALSE)</f>
        <v>De gemaakte keuzes in het ontwerp zijn onderbouwd met steekhoudende argumenten, waarbij rekening is gehouden met bijv. ethiek, privacy en security.
Niet of nauwelijks</v>
      </c>
      <c r="E26" s="65" t="str">
        <f>VLOOKUP($A26,Beheersingsniveaus!$D$4:$K$154,5,FALSE)</f>
        <v>Enigszins</v>
      </c>
      <c r="F26" s="65" t="str">
        <f>VLOOKUP($A26,Beheersingsniveaus!$D$4:$K$154,6,FALSE)</f>
        <v>Grotendeels</v>
      </c>
      <c r="G26" s="65" t="str">
        <f>VLOOKUP($A26,Beheersingsniveaus!$D$4:$K$154,7,FALSE)</f>
        <v>Volledig</v>
      </c>
      <c r="H26" s="59">
        <f>VLOOKUP($A26,Beheersingsniveaus!$D$4:$K$154,8,FALSE)</f>
        <v>0</v>
      </c>
      <c r="I26" s="59"/>
      <c r="J26" s="59" t="b">
        <v>0</v>
      </c>
      <c r="K26" s="59" t="b">
        <v>1</v>
      </c>
      <c r="L26" s="59"/>
      <c r="M26" s="59">
        <f>IF(L26=TRUE,3,IF(K26=TRUE,2,IF(J26=TRUE,1,IF(I26=TRUE,0,0))))</f>
        <v>2</v>
      </c>
      <c r="N26" s="59">
        <f>(4-COUNTBLANK(D26:G26))-1</f>
        <v>3</v>
      </c>
      <c r="O26" s="59">
        <f>COUNTA(I26:L26)</f>
        <v>2</v>
      </c>
    </row>
    <row r="27" spans="1:15" x14ac:dyDescent="0.3">
      <c r="B27" t="s">
        <v>174</v>
      </c>
    </row>
    <row r="28" spans="1:15" ht="28.5" customHeight="1" x14ac:dyDescent="0.5">
      <c r="B28" s="119" t="s">
        <v>175</v>
      </c>
      <c r="C28" s="120"/>
      <c r="D28" s="120"/>
      <c r="E28" s="120"/>
      <c r="F28" s="120"/>
      <c r="G28" s="120"/>
    </row>
    <row r="29" spans="1:15" ht="26.1" customHeight="1" x14ac:dyDescent="0.3">
      <c r="B29" s="66" t="s">
        <v>176</v>
      </c>
    </row>
    <row r="30" spans="1:15" hidden="1" x14ac:dyDescent="0.3">
      <c r="B30" t="s">
        <v>177</v>
      </c>
      <c r="C30" s="59">
        <f>COUNTIF($H:$H,ja)</f>
        <v>1</v>
      </c>
      <c r="D30" s="8" t="s">
        <v>178</v>
      </c>
      <c r="E30" s="60" t="b">
        <f>IF(COUNTIF(J30:J32,FALSE)=0,TRUE,FALSE)</f>
        <v>1</v>
      </c>
    </row>
    <row r="31" spans="1:15" x14ac:dyDescent="0.3">
      <c r="A31" t="s">
        <v>78</v>
      </c>
      <c r="B31" s="68" t="s">
        <v>179</v>
      </c>
      <c r="C31" s="68"/>
      <c r="D31" s="72" t="s">
        <v>180</v>
      </c>
      <c r="E31" s="73"/>
      <c r="H31" t="s">
        <v>181</v>
      </c>
      <c r="I31" t="s">
        <v>182</v>
      </c>
      <c r="J31" t="s">
        <v>183</v>
      </c>
    </row>
    <row r="32" spans="1:15" x14ac:dyDescent="0.3">
      <c r="A32" s="59" t="s">
        <v>171</v>
      </c>
      <c r="B32" t="str">
        <f>VLOOKUP($A32,Beheersingsniveaus!$D$3:$F$154,3,FALSE)</f>
        <v>Ontwerp</v>
      </c>
      <c r="D32" s="69" t="str">
        <f>CONCATENATE(IF(VLOOKUP(A32,A21:N27,13,FALSE)&gt;0,"Behaald","Niet behaald"))</f>
        <v>Behaald</v>
      </c>
      <c r="J32" s="59" t="b">
        <f>IF(VLOOKUP($A32,$A$21:$N$27,13,FALSE)&gt;0,TRUE,FALSE)</f>
        <v>1</v>
      </c>
    </row>
    <row r="34" spans="2:4" ht="26.1" customHeight="1" x14ac:dyDescent="0.3">
      <c r="B34" s="66" t="s">
        <v>160</v>
      </c>
    </row>
    <row r="35" spans="2:4" x14ac:dyDescent="0.3">
      <c r="B35" s="68" t="s">
        <v>161</v>
      </c>
      <c r="C35" s="68" t="s">
        <v>162</v>
      </c>
      <c r="D35" s="67" t="s">
        <v>163</v>
      </c>
    </row>
    <row r="36" spans="2:4" x14ac:dyDescent="0.3">
      <c r="B36" s="69">
        <v>0</v>
      </c>
      <c r="C36" s="70">
        <f t="shared" ref="C36:C45" si="0">ROUNDUP(IF(B36&lt;$B$8,4.5/$B$8*B36+1,4.5/($B$4-$B$8)*(B36-$B$8)+5.5),1)</f>
        <v>1</v>
      </c>
      <c r="D36" s="62" t="str">
        <f t="shared" ref="D36:D45" si="1">IF($B36=$B$5,"X","")</f>
        <v/>
      </c>
    </row>
    <row r="37" spans="2:4" x14ac:dyDescent="0.3">
      <c r="B37" s="69">
        <v>1</v>
      </c>
      <c r="C37" s="70">
        <f t="shared" si="0"/>
        <v>2</v>
      </c>
      <c r="D37" s="62" t="str">
        <f t="shared" si="1"/>
        <v/>
      </c>
    </row>
    <row r="38" spans="2:4" x14ac:dyDescent="0.3">
      <c r="B38" s="69">
        <v>2</v>
      </c>
      <c r="C38" s="70">
        <f t="shared" si="0"/>
        <v>3</v>
      </c>
      <c r="D38" s="62" t="str">
        <f t="shared" si="1"/>
        <v/>
      </c>
    </row>
    <row r="39" spans="2:4" x14ac:dyDescent="0.3">
      <c r="B39" s="69">
        <v>3</v>
      </c>
      <c r="C39" s="70">
        <f t="shared" si="0"/>
        <v>4</v>
      </c>
      <c r="D39" s="62" t="str">
        <f t="shared" si="1"/>
        <v/>
      </c>
    </row>
    <row r="40" spans="2:4" x14ac:dyDescent="0.3">
      <c r="B40" s="69">
        <v>4</v>
      </c>
      <c r="C40" s="70">
        <f t="shared" si="0"/>
        <v>5</v>
      </c>
      <c r="D40" s="62" t="str">
        <f t="shared" si="1"/>
        <v/>
      </c>
    </row>
    <row r="41" spans="2:4" x14ac:dyDescent="0.3">
      <c r="B41" s="69">
        <v>5</v>
      </c>
      <c r="C41" s="70">
        <f t="shared" si="0"/>
        <v>6</v>
      </c>
      <c r="D41" s="62" t="str">
        <f t="shared" si="1"/>
        <v/>
      </c>
    </row>
    <row r="42" spans="2:4" x14ac:dyDescent="0.3">
      <c r="B42" s="69">
        <v>6</v>
      </c>
      <c r="C42" s="70">
        <f t="shared" si="0"/>
        <v>7</v>
      </c>
      <c r="D42" s="62" t="str">
        <f t="shared" si="1"/>
        <v/>
      </c>
    </row>
    <row r="43" spans="2:4" x14ac:dyDescent="0.3">
      <c r="B43" s="69">
        <v>7</v>
      </c>
      <c r="C43" s="70">
        <f t="shared" si="0"/>
        <v>8</v>
      </c>
      <c r="D43" s="62" t="str">
        <f t="shared" si="1"/>
        <v/>
      </c>
    </row>
    <row r="44" spans="2:4" x14ac:dyDescent="0.3">
      <c r="B44" s="69">
        <v>8</v>
      </c>
      <c r="C44" s="70">
        <f t="shared" si="0"/>
        <v>9</v>
      </c>
      <c r="D44" s="62" t="str">
        <f t="shared" si="1"/>
        <v>X</v>
      </c>
    </row>
    <row r="45" spans="2:4" x14ac:dyDescent="0.3">
      <c r="B45" s="69">
        <v>9</v>
      </c>
      <c r="C45" s="70">
        <f t="shared" si="0"/>
        <v>10</v>
      </c>
      <c r="D45" s="62" t="str">
        <f t="shared" si="1"/>
        <v/>
      </c>
    </row>
    <row r="46" spans="2:4" hidden="1" x14ac:dyDescent="0.3">
      <c r="B46" s="69">
        <f>IF(D36="X","",IF(D36="X",C36,IF(D37="X",C37,IF(D38="X",C38,IF(D39="X",C39,IF(D40="X",C40,IF(D41="X",C41,IF(D42="X",C42,IF(D43="X",C43,IF(D44="X",C44,IF(D45="X",C45,"")))))))))))</f>
        <v>9</v>
      </c>
      <c r="C46" s="70"/>
      <c r="D46" s="62"/>
    </row>
    <row r="48" spans="2:4" ht="26.1" customHeight="1" x14ac:dyDescent="0.3">
      <c r="B48" s="66" t="s">
        <v>164</v>
      </c>
    </row>
    <row r="49" spans="2:7" x14ac:dyDescent="0.3">
      <c r="B49" t="s">
        <v>165</v>
      </c>
    </row>
    <row r="50" spans="2:7" ht="35.1" customHeight="1" x14ac:dyDescent="0.3">
      <c r="B50" s="121" t="s">
        <v>7</v>
      </c>
      <c r="C50" s="121"/>
      <c r="D50" s="121"/>
      <c r="E50" s="121"/>
      <c r="F50" s="121"/>
      <c r="G50" s="121"/>
    </row>
    <row r="51" spans="2:7" ht="300" customHeight="1" x14ac:dyDescent="0.3">
      <c r="B51" s="117"/>
      <c r="C51" s="117"/>
      <c r="D51" s="117"/>
      <c r="E51" s="117"/>
      <c r="F51" s="117"/>
      <c r="G51" s="117"/>
    </row>
    <row r="53" spans="2:7" ht="26.1" customHeight="1" x14ac:dyDescent="0.3">
      <c r="B53" s="66" t="s">
        <v>134</v>
      </c>
    </row>
    <row r="54" spans="2:7" x14ac:dyDescent="0.3">
      <c r="B54" s="71" t="s">
        <v>166</v>
      </c>
    </row>
    <row r="55" spans="2:7" x14ac:dyDescent="0.3">
      <c r="B55" t="s">
        <v>167</v>
      </c>
    </row>
    <row r="58" spans="2:7" x14ac:dyDescent="0.3">
      <c r="B58" t="s">
        <v>168</v>
      </c>
    </row>
    <row r="59" spans="2:7" ht="50.1" customHeight="1" x14ac:dyDescent="0.3">
      <c r="B59" s="117"/>
      <c r="C59" s="117"/>
      <c r="D59" s="117"/>
      <c r="E59" s="117"/>
      <c r="F59" s="117"/>
      <c r="G59" s="117"/>
    </row>
  </sheetData>
  <mergeCells count="8">
    <mergeCell ref="B51:G51"/>
    <mergeCell ref="B59:G59"/>
    <mergeCell ref="B10:G10"/>
    <mergeCell ref="B11:G11"/>
    <mergeCell ref="B13:G13"/>
    <mergeCell ref="B21:G21"/>
    <mergeCell ref="B28:G28"/>
    <mergeCell ref="B50:G50"/>
  </mergeCells>
  <conditionalFormatting sqref="B24:G24">
    <cfRule type="expression" dxfId="23" priority="1" stopIfTrue="1">
      <formula>COUNTIF($I24:$L24,TRUE)&gt;1</formula>
    </cfRule>
  </conditionalFormatting>
  <conditionalFormatting sqref="B25:G25">
    <cfRule type="expression" dxfId="22" priority="2" stopIfTrue="1">
      <formula>COUNTIF($I25:$L25,TRUE)&gt;1</formula>
    </cfRule>
  </conditionalFormatting>
  <conditionalFormatting sqref="B26:G26">
    <cfRule type="expression" dxfId="21" priority="3" stopIfTrue="1">
      <formula>COUNTIF($I26:$L26,TRUE)&gt;1</formula>
    </cfRule>
  </conditionalFormatting>
  <conditionalFormatting sqref="B36:C46">
    <cfRule type="expression" dxfId="20" priority="4" stopIfTrue="1">
      <formula>$E$30=FALSE</formula>
    </cfRule>
  </conditionalFormatting>
  <conditionalFormatting sqref="D35:D46">
    <cfRule type="expression" dxfId="19" priority="5" stopIfTrue="1">
      <formula>$E$30=FALSE</formula>
    </cfRule>
  </conditionalFormatting>
  <pageMargins left="0.70866141732283472" right="0.70866141732283472" top="0.74803149606299213" bottom="0.74803149606299213" header="0.31496062992125984" footer="0.31496062992125984"/>
  <pageSetup paperSize="9" scale="65" fitToHeight="0" orientation="portrait" r:id="rId1"/>
  <headerFooter>
    <oddFooter>&amp;L© Stichting Praktijkleren&amp;C[Examencode]&amp;R&amp;P/&amp;N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5298" r:id="rId4" name="Check Box 2">
              <controlPr defaultSize="0" autoFill="0" autoLine="0" autoPict="0" macro="[0]!'OnClickCheckbox 24'">
                <anchor moveWithCells="1">
                  <from>
                    <xdr:col>3</xdr:col>
                    <xdr:colOff>0</xdr:colOff>
                    <xdr:row>23</xdr:row>
                    <xdr:rowOff>0</xdr:rowOff>
                  </from>
                  <to>
                    <xdr:col>4</xdr:col>
                    <xdr:colOff>0</xdr:colOff>
                    <xdr:row>23</xdr:row>
                    <xdr:rowOff>213360</xdr:rowOff>
                  </to>
                </anchor>
              </controlPr>
            </control>
          </mc:Choice>
        </mc:AlternateContent>
        <mc:AlternateContent xmlns:mc="http://schemas.openxmlformats.org/markup-compatibility/2006">
          <mc:Choice Requires="x14">
            <control shapeId="55299" r:id="rId5" name="Check Box 3">
              <controlPr defaultSize="0" autoFill="0" autoLine="0" autoPict="0" macro="[0]!'OnClickCheckbox 24'">
                <anchor moveWithCells="1">
                  <from>
                    <xdr:col>4</xdr:col>
                    <xdr:colOff>0</xdr:colOff>
                    <xdr:row>23</xdr:row>
                    <xdr:rowOff>0</xdr:rowOff>
                  </from>
                  <to>
                    <xdr:col>5</xdr:col>
                    <xdr:colOff>0</xdr:colOff>
                    <xdr:row>23</xdr:row>
                    <xdr:rowOff>213360</xdr:rowOff>
                  </to>
                </anchor>
              </controlPr>
            </control>
          </mc:Choice>
        </mc:AlternateContent>
        <mc:AlternateContent xmlns:mc="http://schemas.openxmlformats.org/markup-compatibility/2006">
          <mc:Choice Requires="x14">
            <control shapeId="55300" r:id="rId6" name="Check Box 4">
              <controlPr defaultSize="0" autoFill="0" autoLine="0" autoPict="0" macro="[0]!'OnClickCheckbox 24'">
                <anchor moveWithCells="1">
                  <from>
                    <xdr:col>5</xdr:col>
                    <xdr:colOff>0</xdr:colOff>
                    <xdr:row>23</xdr:row>
                    <xdr:rowOff>0</xdr:rowOff>
                  </from>
                  <to>
                    <xdr:col>6</xdr:col>
                    <xdr:colOff>0</xdr:colOff>
                    <xdr:row>23</xdr:row>
                    <xdr:rowOff>213360</xdr:rowOff>
                  </to>
                </anchor>
              </controlPr>
            </control>
          </mc:Choice>
        </mc:AlternateContent>
        <mc:AlternateContent xmlns:mc="http://schemas.openxmlformats.org/markup-compatibility/2006">
          <mc:Choice Requires="x14">
            <control shapeId="55301" r:id="rId7" name="Check Box 5">
              <controlPr defaultSize="0" autoFill="0" autoLine="0" autoPict="0" macro="[0]!'OnClickCheckbox 24'">
                <anchor moveWithCells="1">
                  <from>
                    <xdr:col>6</xdr:col>
                    <xdr:colOff>0</xdr:colOff>
                    <xdr:row>23</xdr:row>
                    <xdr:rowOff>0</xdr:rowOff>
                  </from>
                  <to>
                    <xdr:col>7</xdr:col>
                    <xdr:colOff>0</xdr:colOff>
                    <xdr:row>23</xdr:row>
                    <xdr:rowOff>213360</xdr:rowOff>
                  </to>
                </anchor>
              </controlPr>
            </control>
          </mc:Choice>
        </mc:AlternateContent>
        <mc:AlternateContent xmlns:mc="http://schemas.openxmlformats.org/markup-compatibility/2006">
          <mc:Choice Requires="x14">
            <control shapeId="55302" r:id="rId8" name="Check Box 6">
              <controlPr defaultSize="0" autoFill="0" autoLine="0" autoPict="0" macro="[0]!'OnClickCheckbox 25'">
                <anchor moveWithCells="1">
                  <from>
                    <xdr:col>3</xdr:col>
                    <xdr:colOff>0</xdr:colOff>
                    <xdr:row>24</xdr:row>
                    <xdr:rowOff>0</xdr:rowOff>
                  </from>
                  <to>
                    <xdr:col>4</xdr:col>
                    <xdr:colOff>0</xdr:colOff>
                    <xdr:row>24</xdr:row>
                    <xdr:rowOff>213360</xdr:rowOff>
                  </to>
                </anchor>
              </controlPr>
            </control>
          </mc:Choice>
        </mc:AlternateContent>
        <mc:AlternateContent xmlns:mc="http://schemas.openxmlformats.org/markup-compatibility/2006">
          <mc:Choice Requires="x14">
            <control shapeId="55303" r:id="rId9" name="Check Box 7">
              <controlPr defaultSize="0" autoFill="0" autoLine="0" autoPict="0" macro="[0]!'OnClickCheckbox 25'">
                <anchor moveWithCells="1">
                  <from>
                    <xdr:col>4</xdr:col>
                    <xdr:colOff>0</xdr:colOff>
                    <xdr:row>24</xdr:row>
                    <xdr:rowOff>0</xdr:rowOff>
                  </from>
                  <to>
                    <xdr:col>5</xdr:col>
                    <xdr:colOff>0</xdr:colOff>
                    <xdr:row>24</xdr:row>
                    <xdr:rowOff>213360</xdr:rowOff>
                  </to>
                </anchor>
              </controlPr>
            </control>
          </mc:Choice>
        </mc:AlternateContent>
        <mc:AlternateContent xmlns:mc="http://schemas.openxmlformats.org/markup-compatibility/2006">
          <mc:Choice Requires="x14">
            <control shapeId="55304" r:id="rId10" name="Check Box 8">
              <controlPr defaultSize="0" autoFill="0" autoLine="0" autoPict="0" macro="[0]!'OnClickCheckbox 25'">
                <anchor moveWithCells="1">
                  <from>
                    <xdr:col>5</xdr:col>
                    <xdr:colOff>0</xdr:colOff>
                    <xdr:row>24</xdr:row>
                    <xdr:rowOff>0</xdr:rowOff>
                  </from>
                  <to>
                    <xdr:col>6</xdr:col>
                    <xdr:colOff>0</xdr:colOff>
                    <xdr:row>24</xdr:row>
                    <xdr:rowOff>213360</xdr:rowOff>
                  </to>
                </anchor>
              </controlPr>
            </control>
          </mc:Choice>
        </mc:AlternateContent>
        <mc:AlternateContent xmlns:mc="http://schemas.openxmlformats.org/markup-compatibility/2006">
          <mc:Choice Requires="x14">
            <control shapeId="55305" r:id="rId11" name="Check Box 9">
              <controlPr defaultSize="0" autoFill="0" autoLine="0" autoPict="0" macro="[0]!'OnClickCheckbox 25'">
                <anchor moveWithCells="1">
                  <from>
                    <xdr:col>6</xdr:col>
                    <xdr:colOff>0</xdr:colOff>
                    <xdr:row>24</xdr:row>
                    <xdr:rowOff>0</xdr:rowOff>
                  </from>
                  <to>
                    <xdr:col>7</xdr:col>
                    <xdr:colOff>0</xdr:colOff>
                    <xdr:row>24</xdr:row>
                    <xdr:rowOff>213360</xdr:rowOff>
                  </to>
                </anchor>
              </controlPr>
            </control>
          </mc:Choice>
        </mc:AlternateContent>
        <mc:AlternateContent xmlns:mc="http://schemas.openxmlformats.org/markup-compatibility/2006">
          <mc:Choice Requires="x14">
            <control shapeId="55306" r:id="rId12" name="Check Box 10">
              <controlPr defaultSize="0" autoFill="0" autoLine="0" autoPict="0" macro="[0]!'OnClickCheckbox 26'">
                <anchor moveWithCells="1">
                  <from>
                    <xdr:col>3</xdr:col>
                    <xdr:colOff>0</xdr:colOff>
                    <xdr:row>25</xdr:row>
                    <xdr:rowOff>0</xdr:rowOff>
                  </from>
                  <to>
                    <xdr:col>4</xdr:col>
                    <xdr:colOff>0</xdr:colOff>
                    <xdr:row>25</xdr:row>
                    <xdr:rowOff>213360</xdr:rowOff>
                  </to>
                </anchor>
              </controlPr>
            </control>
          </mc:Choice>
        </mc:AlternateContent>
        <mc:AlternateContent xmlns:mc="http://schemas.openxmlformats.org/markup-compatibility/2006">
          <mc:Choice Requires="x14">
            <control shapeId="55307" r:id="rId13" name="Check Box 11">
              <controlPr defaultSize="0" autoFill="0" autoLine="0" autoPict="0" macro="[0]!'OnClickCheckbox 26'">
                <anchor moveWithCells="1">
                  <from>
                    <xdr:col>4</xdr:col>
                    <xdr:colOff>0</xdr:colOff>
                    <xdr:row>25</xdr:row>
                    <xdr:rowOff>0</xdr:rowOff>
                  </from>
                  <to>
                    <xdr:col>5</xdr:col>
                    <xdr:colOff>0</xdr:colOff>
                    <xdr:row>25</xdr:row>
                    <xdr:rowOff>213360</xdr:rowOff>
                  </to>
                </anchor>
              </controlPr>
            </control>
          </mc:Choice>
        </mc:AlternateContent>
        <mc:AlternateContent xmlns:mc="http://schemas.openxmlformats.org/markup-compatibility/2006">
          <mc:Choice Requires="x14">
            <control shapeId="55308" r:id="rId14" name="Check Box 12">
              <controlPr defaultSize="0" autoFill="0" autoLine="0" autoPict="0" macro="[0]!'OnClickCheckbox 26'">
                <anchor moveWithCells="1">
                  <from>
                    <xdr:col>5</xdr:col>
                    <xdr:colOff>0</xdr:colOff>
                    <xdr:row>25</xdr:row>
                    <xdr:rowOff>0</xdr:rowOff>
                  </from>
                  <to>
                    <xdr:col>6</xdr:col>
                    <xdr:colOff>0</xdr:colOff>
                    <xdr:row>25</xdr:row>
                    <xdr:rowOff>213360</xdr:rowOff>
                  </to>
                </anchor>
              </controlPr>
            </control>
          </mc:Choice>
        </mc:AlternateContent>
        <mc:AlternateContent xmlns:mc="http://schemas.openxmlformats.org/markup-compatibility/2006">
          <mc:Choice Requires="x14">
            <control shapeId="55309" r:id="rId15" name="Check Box 13">
              <controlPr defaultSize="0" autoFill="0" autoLine="0" autoPict="0" macro="[0]!'OnClickCheckbox 26'">
                <anchor moveWithCells="1">
                  <from>
                    <xdr:col>6</xdr:col>
                    <xdr:colOff>0</xdr:colOff>
                    <xdr:row>25</xdr:row>
                    <xdr:rowOff>0</xdr:rowOff>
                  </from>
                  <to>
                    <xdr:col>7</xdr:col>
                    <xdr:colOff>0</xdr:colOff>
                    <xdr:row>25</xdr:row>
                    <xdr:rowOff>213360</xdr:rowOff>
                  </to>
                </anchor>
              </controlPr>
            </control>
          </mc:Choice>
        </mc:AlternateContent>
        <mc:AlternateContent xmlns:mc="http://schemas.openxmlformats.org/markup-compatibility/2006">
          <mc:Choice Requires="x14">
            <control shapeId="55310" r:id="rId16" name="Check Box 14">
              <controlPr defaultSize="0" autoFill="0" autoLine="0" autoPict="0">
                <anchor moveWithCells="1">
                  <from>
                    <xdr:col>1</xdr:col>
                    <xdr:colOff>0</xdr:colOff>
                    <xdr:row>55</xdr:row>
                    <xdr:rowOff>0</xdr:rowOff>
                  </from>
                  <to>
                    <xdr:col>2</xdr:col>
                    <xdr:colOff>0</xdr:colOff>
                    <xdr:row>56</xdr:row>
                    <xdr:rowOff>22860</xdr:rowOff>
                  </to>
                </anchor>
              </controlPr>
            </control>
          </mc:Choice>
        </mc:AlternateContent>
        <mc:AlternateContent xmlns:mc="http://schemas.openxmlformats.org/markup-compatibility/2006">
          <mc:Choice Requires="x14">
            <control shapeId="55311" r:id="rId17" name="Check Box 15">
              <controlPr defaultSize="0" autoFill="0" autoLine="0" autoPict="0">
                <anchor moveWithCells="1">
                  <from>
                    <xdr:col>2</xdr:col>
                    <xdr:colOff>0</xdr:colOff>
                    <xdr:row>55</xdr:row>
                    <xdr:rowOff>0</xdr:rowOff>
                  </from>
                  <to>
                    <xdr:col>3</xdr:col>
                    <xdr:colOff>190500</xdr:colOff>
                    <xdr:row>56</xdr:row>
                    <xdr:rowOff>22860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2FD069-80A2-416B-8168-9CD75C3119B1}">
  <sheetPr codeName="Blad30">
    <tabColor indexed="22"/>
    <pageSetUpPr fitToPage="1"/>
  </sheetPr>
  <dimension ref="A1:O77"/>
  <sheetViews>
    <sheetView showGridLines="0" topLeftCell="B9" workbookViewId="0">
      <selection activeCell="C17" sqref="C17"/>
    </sheetView>
  </sheetViews>
  <sheetFormatPr defaultRowHeight="14.4" x14ac:dyDescent="0.3"/>
  <cols>
    <col min="1" max="1" width="18.21875" hidden="1" customWidth="1"/>
    <col min="2" max="2" width="20.21875" customWidth="1"/>
    <col min="3" max="3" width="17.21875" customWidth="1"/>
    <col min="4" max="7" width="23.77734375" style="8" customWidth="1"/>
    <col min="8" max="15" width="0" hidden="1" customWidth="1"/>
  </cols>
  <sheetData>
    <row r="1" spans="1:7" hidden="1" x14ac:dyDescent="0.3">
      <c r="A1" t="s">
        <v>27</v>
      </c>
      <c r="B1" s="6" t="s">
        <v>67</v>
      </c>
      <c r="C1" s="49" t="str">
        <f>VLOOKUP(B1,werkprocessen,2,FALSE)</f>
        <v>Realiseert (onderdelen van) software</v>
      </c>
    </row>
    <row r="2" spans="1:7" hidden="1" x14ac:dyDescent="0.3">
      <c r="A2" t="s">
        <v>28</v>
      </c>
      <c r="B2" s="6">
        <f>VLOOKUP(B1,KerntakenEnWerkprocessen!B13:E27,3,FALSE)</f>
        <v>3</v>
      </c>
    </row>
    <row r="3" spans="1:7" hidden="1" x14ac:dyDescent="0.3">
      <c r="A3" t="s">
        <v>29</v>
      </c>
      <c r="B3" s="6">
        <f>VLOOKUP(B1,KerntakenEnWerkprocessen!B13:E27,4,FALSE)</f>
        <v>3</v>
      </c>
    </row>
    <row r="4" spans="1:7" hidden="1" x14ac:dyDescent="0.3">
      <c r="A4" t="s">
        <v>30</v>
      </c>
      <c r="B4" s="6">
        <f>SUM(N:N)</f>
        <v>18</v>
      </c>
      <c r="C4" s="48" t="s">
        <v>31</v>
      </c>
      <c r="D4" s="47" t="b">
        <f>IF(SUM(O:O)&gt;0,TRUE,FALSE)</f>
        <v>1</v>
      </c>
    </row>
    <row r="5" spans="1:7" hidden="1" x14ac:dyDescent="0.3">
      <c r="A5" t="s">
        <v>32</v>
      </c>
      <c r="B5" s="6">
        <f>SUM(M:M)</f>
        <v>10</v>
      </c>
    </row>
    <row r="6" spans="1:7" hidden="1" x14ac:dyDescent="0.3">
      <c r="A6" t="s">
        <v>33</v>
      </c>
      <c r="B6" s="6">
        <f>COUNTIF(N:N,1)</f>
        <v>0</v>
      </c>
    </row>
    <row r="7" spans="1:7" hidden="1" x14ac:dyDescent="0.3">
      <c r="A7" t="s">
        <v>34</v>
      </c>
      <c r="B7" s="6">
        <f>COUNTIF(N:N,2)+COUNTIF(N:N,3)</f>
        <v>6</v>
      </c>
    </row>
    <row r="8" spans="1:7" hidden="1" x14ac:dyDescent="0.3">
      <c r="A8" t="s">
        <v>35</v>
      </c>
      <c r="B8" s="6">
        <f>0.5*B4</f>
        <v>9</v>
      </c>
    </row>
    <row r="10" spans="1:7" ht="36.75" customHeight="1" x14ac:dyDescent="0.6">
      <c r="B10" s="104" t="str">
        <f>CONCATENATE(kerntaakCode,": ",kerntaakNaam)</f>
        <v>B1-K1: Realiseert software</v>
      </c>
      <c r="C10" s="104"/>
      <c r="D10" s="104"/>
      <c r="E10" s="104"/>
      <c r="F10" s="104"/>
      <c r="G10" s="104"/>
    </row>
    <row r="11" spans="1:7" ht="28.5" customHeight="1" x14ac:dyDescent="0.5">
      <c r="B11" s="105" t="str">
        <f>CONCATENATE(VLOOKUP(B1,werkprocessen,1,FALSE),": ",C1)</f>
        <v>B1-K1-W3: Realiseert (onderdelen van) software</v>
      </c>
      <c r="C11" s="105"/>
      <c r="D11" s="105"/>
      <c r="E11" s="105"/>
      <c r="F11" s="105"/>
      <c r="G11" s="105"/>
    </row>
    <row r="13" spans="1:7" ht="24" customHeight="1" x14ac:dyDescent="0.3">
      <c r="B13" s="96" t="s">
        <v>36</v>
      </c>
      <c r="C13" s="97"/>
      <c r="D13" s="97"/>
      <c r="E13" s="97"/>
      <c r="F13" s="97"/>
      <c r="G13" s="98"/>
    </row>
    <row r="14" spans="1:7" ht="22.5" customHeight="1" x14ac:dyDescent="0.3">
      <c r="B14" s="56" t="s">
        <v>37</v>
      </c>
      <c r="C14" s="85" t="str">
        <f>IF(Voorblad!B16="","",Voorblad!B16)</f>
        <v/>
      </c>
      <c r="D14" s="9"/>
      <c r="E14" s="9"/>
      <c r="F14" s="9"/>
      <c r="G14" s="13"/>
    </row>
    <row r="15" spans="1:7" ht="22.5" customHeight="1" x14ac:dyDescent="0.3">
      <c r="B15" s="56" t="s">
        <v>38</v>
      </c>
      <c r="C15" s="86" t="str">
        <f>IF(Voorblad!B17="","",Voorblad!B17)</f>
        <v>Rohan Dayal</v>
      </c>
      <c r="D15" s="10"/>
      <c r="E15" s="10"/>
      <c r="F15" s="10"/>
      <c r="G15" s="14"/>
    </row>
    <row r="16" spans="1:7" ht="22.5" customHeight="1" x14ac:dyDescent="0.3">
      <c r="B16" s="56" t="s">
        <v>39</v>
      </c>
      <c r="C16" s="87">
        <f>IF(Voorblad!B18="","",Voorblad!B18)</f>
        <v>9019234</v>
      </c>
      <c r="D16" s="10"/>
      <c r="E16" s="10"/>
      <c r="F16" s="10"/>
      <c r="G16" s="14"/>
    </row>
    <row r="17" spans="1:15" ht="22.5" customHeight="1" x14ac:dyDescent="0.3">
      <c r="B17" s="56" t="s">
        <v>40</v>
      </c>
      <c r="C17" s="84" t="s">
        <v>213</v>
      </c>
      <c r="D17" s="10"/>
      <c r="E17" s="10"/>
      <c r="F17" s="10"/>
      <c r="G17" s="14"/>
    </row>
    <row r="18" spans="1:15" ht="22.5" customHeight="1" x14ac:dyDescent="0.3">
      <c r="B18" s="77" t="s">
        <v>137</v>
      </c>
      <c r="C18" s="84" t="s">
        <v>212</v>
      </c>
      <c r="D18" s="10"/>
      <c r="E18" s="10"/>
      <c r="F18" s="10"/>
      <c r="G18" s="14"/>
    </row>
    <row r="19" spans="1:15" ht="22.5" customHeight="1" x14ac:dyDescent="0.3">
      <c r="B19" s="77" t="s">
        <v>138</v>
      </c>
      <c r="C19" s="84" t="s">
        <v>212</v>
      </c>
      <c r="D19" s="10"/>
      <c r="E19" s="10"/>
      <c r="F19" s="10"/>
      <c r="G19" s="14"/>
    </row>
    <row r="20" spans="1:15" ht="23.25" customHeight="1" x14ac:dyDescent="0.3"/>
    <row r="21" spans="1:15" ht="24" customHeight="1" x14ac:dyDescent="0.3">
      <c r="B21" s="118" t="s">
        <v>184</v>
      </c>
      <c r="C21" s="118"/>
      <c r="D21" s="118"/>
      <c r="E21" s="118"/>
      <c r="F21" s="118"/>
      <c r="G21" s="118"/>
    </row>
    <row r="22" spans="1:15" hidden="1" x14ac:dyDescent="0.3">
      <c r="A22" t="s">
        <v>145</v>
      </c>
      <c r="B22" s="59">
        <v>3</v>
      </c>
      <c r="D22" s="8" t="s">
        <v>146</v>
      </c>
      <c r="E22" s="60" t="s">
        <v>185</v>
      </c>
      <c r="G22" s="8" t="s">
        <v>148</v>
      </c>
      <c r="H22" s="59">
        <f>COUNTIF(Beheersingsniveaus!$C$4:$C$154,$E22)</f>
        <v>6</v>
      </c>
    </row>
    <row r="23" spans="1:15" x14ac:dyDescent="0.3">
      <c r="A23" t="s">
        <v>78</v>
      </c>
      <c r="B23" s="61" t="s">
        <v>149</v>
      </c>
      <c r="C23" s="61" t="s">
        <v>80</v>
      </c>
      <c r="D23" s="61">
        <v>0</v>
      </c>
      <c r="E23" s="61">
        <v>1</v>
      </c>
      <c r="F23" s="61">
        <v>2</v>
      </c>
      <c r="G23" s="61">
        <v>3</v>
      </c>
      <c r="H23" t="s">
        <v>85</v>
      </c>
      <c r="I23" t="s">
        <v>150</v>
      </c>
      <c r="J23" t="s">
        <v>151</v>
      </c>
      <c r="K23" t="s">
        <v>152</v>
      </c>
      <c r="L23" t="s">
        <v>153</v>
      </c>
      <c r="M23" t="s">
        <v>32</v>
      </c>
      <c r="N23" t="s">
        <v>30</v>
      </c>
      <c r="O23" t="s">
        <v>154</v>
      </c>
    </row>
    <row r="24" spans="1:15" ht="130.05000000000001" customHeight="1" x14ac:dyDescent="0.3">
      <c r="A24" s="63" t="s">
        <v>186</v>
      </c>
      <c r="B24" s="64" t="str">
        <f>VLOOKUP($A24,Beheersingsniveaus!$D$4:$K$154,2,FALSE)</f>
        <v>T5</v>
      </c>
      <c r="C24" s="64" t="str">
        <f>CONCATENATE(VLOOKUP($A24,Beheersingsniveaus!$D$4:$K$154,3,FALSE),IF($H24=ja,"*",""))</f>
        <v>Gerealiseerde user stories*</v>
      </c>
      <c r="D24" s="65" t="str">
        <f>VLOOKUP($A24,Beheersingsniveaus!$D$4:$K$154,4,FALSE)</f>
        <v>Er is voldoende inhoud van de user stories gerealiseerd binnen de gestelde/geplande tijd.
Niet of nauwelijks</v>
      </c>
      <c r="E24" s="65" t="str">
        <f>VLOOKUP($A24,Beheersingsniveaus!$D$4:$K$154,5,FALSE)</f>
        <v>Enigszins</v>
      </c>
      <c r="F24" s="65" t="str">
        <f>VLOOKUP($A24,Beheersingsniveaus!$D$4:$K$154,6,FALSE)</f>
        <v>Grotendeels</v>
      </c>
      <c r="G24" s="65" t="str">
        <f>VLOOKUP($A24,Beheersingsniveaus!$D$4:$K$154,7,FALSE)</f>
        <v>Volledig</v>
      </c>
      <c r="H24" s="59" t="str">
        <f>VLOOKUP($A24,Beheersingsniveaus!$D$4:$K$154,8,FALSE)</f>
        <v>Ja</v>
      </c>
      <c r="I24" s="59"/>
      <c r="J24" s="59" t="b">
        <v>1</v>
      </c>
      <c r="K24" s="59" t="b">
        <v>0</v>
      </c>
      <c r="L24" s="59" t="b">
        <v>0</v>
      </c>
      <c r="M24" s="59">
        <f t="shared" ref="M24:M29" si="0">IF(L24=TRUE,3,IF(K24=TRUE,2,IF(J24=TRUE,1,IF(I24=TRUE,0,0))))</f>
        <v>1</v>
      </c>
      <c r="N24" s="59">
        <f t="shared" ref="N24:N29" si="1">(4-COUNTBLANK(D24:G24))-1</f>
        <v>3</v>
      </c>
      <c r="O24" s="59">
        <f t="shared" ref="O24:O29" si="2">COUNTA(I24:L24)</f>
        <v>3</v>
      </c>
    </row>
    <row r="25" spans="1:15" ht="145.05000000000001" customHeight="1" x14ac:dyDescent="0.3">
      <c r="A25" s="63" t="s">
        <v>187</v>
      </c>
      <c r="B25" s="64" t="str">
        <f>VLOOKUP($A25,Beheersingsniveaus!$D$4:$K$154,2,FALSE)</f>
        <v>T5</v>
      </c>
      <c r="C25" s="64" t="str">
        <f>CONCATENATE(VLOOKUP($A25,Beheersingsniveaus!$D$4:$K$154,3,FALSE),IF($H25=ja,"*",""))</f>
        <v>Kwaliteit opgeleverde functionaliteiten</v>
      </c>
      <c r="D25" s="65" t="str">
        <f>VLOOKUP($A25,Beheersingsniveaus!$D$4:$K$154,4,FALSE)</f>
        <v>De opgeleverde functionaliteiten voldoen aan de eisen en wensen zoals omschreven in de betreffende user story.
Niet of nauwelijks</v>
      </c>
      <c r="E25" s="65" t="str">
        <f>VLOOKUP($A25,Beheersingsniveaus!$D$4:$K$154,5,FALSE)</f>
        <v>Enigszins</v>
      </c>
      <c r="F25" s="65" t="str">
        <f>VLOOKUP($A25,Beheersingsniveaus!$D$4:$K$154,6,FALSE)</f>
        <v>Grotendeels</v>
      </c>
      <c r="G25" s="65" t="str">
        <f>VLOOKUP($A25,Beheersingsniveaus!$D$4:$K$154,7,FALSE)</f>
        <v>Volledig</v>
      </c>
      <c r="H25" s="59">
        <f>VLOOKUP($A25,Beheersingsniveaus!$D$4:$K$154,8,FALSE)</f>
        <v>0</v>
      </c>
      <c r="I25" s="59" t="b">
        <v>0</v>
      </c>
      <c r="J25" s="59"/>
      <c r="K25" s="59" t="b">
        <v>1</v>
      </c>
      <c r="L25" s="59"/>
      <c r="M25" s="59">
        <f t="shared" si="0"/>
        <v>2</v>
      </c>
      <c r="N25" s="59">
        <f t="shared" si="1"/>
        <v>3</v>
      </c>
      <c r="O25" s="59">
        <f t="shared" si="2"/>
        <v>2</v>
      </c>
    </row>
    <row r="26" spans="1:15" ht="190.05" customHeight="1" x14ac:dyDescent="0.3">
      <c r="A26" s="63" t="s">
        <v>188</v>
      </c>
      <c r="B26" s="64" t="str">
        <f>VLOOKUP($A26,Beheersingsniveaus!$D$4:$K$154,2,FALSE)</f>
        <v>T5</v>
      </c>
      <c r="C26" s="64" t="str">
        <f>CONCATENATE(VLOOKUP($A26,Beheersingsniveaus!$D$4:$K$154,3,FALSE),IF($H26=ja,"*",""))</f>
        <v>Kwaliteit code*</v>
      </c>
      <c r="D26" s="65" t="str">
        <f>VLOOKUP($A26,Beheersingsniveaus!$D$4:$K$154,4,FALSE)</f>
        <v>De kwaliteit van de code is goed. Dit uit zich onder andere in: structuur van de code, validatie, efficiëntie, foutafhandeling en terugkoppeling, security (veilig programmeren). 
Niet of nauwelijks</v>
      </c>
      <c r="E26" s="65" t="str">
        <f>VLOOKUP($A26,Beheersingsniveaus!$D$4:$K$154,5,FALSE)</f>
        <v>Enigszins</v>
      </c>
      <c r="F26" s="65" t="str">
        <f>VLOOKUP($A26,Beheersingsniveaus!$D$4:$K$154,6,FALSE)</f>
        <v>Grotendeels</v>
      </c>
      <c r="G26" s="65" t="str">
        <f>VLOOKUP($A26,Beheersingsniveaus!$D$4:$K$154,7,FALSE)</f>
        <v>Volledig</v>
      </c>
      <c r="H26" s="59" t="str">
        <f>VLOOKUP($A26,Beheersingsniveaus!$D$4:$K$154,8,FALSE)</f>
        <v>Ja</v>
      </c>
      <c r="I26" s="59"/>
      <c r="J26" s="59" t="b">
        <v>0</v>
      </c>
      <c r="K26" s="59" t="b">
        <v>1</v>
      </c>
      <c r="L26" s="59" t="b">
        <v>0</v>
      </c>
      <c r="M26" s="59">
        <f t="shared" si="0"/>
        <v>2</v>
      </c>
      <c r="N26" s="59">
        <f t="shared" si="1"/>
        <v>3</v>
      </c>
      <c r="O26" s="59">
        <f t="shared" si="2"/>
        <v>3</v>
      </c>
    </row>
    <row r="27" spans="1:15" ht="85.05" customHeight="1" x14ac:dyDescent="0.3">
      <c r="A27" s="63" t="s">
        <v>189</v>
      </c>
      <c r="B27" s="64" t="str">
        <f>VLOOKUP($A27,Beheersingsniveaus!$D$4:$K$154,2,FALSE)</f>
        <v>T5</v>
      </c>
      <c r="C27" s="64" t="str">
        <f>CONCATENATE(VLOOKUP($A27,Beheersingsniveaus!$D$4:$K$154,3,FALSE),IF($H27=ja,"*",""))</f>
        <v>Code conventions</v>
      </c>
      <c r="D27" s="65" t="str">
        <f>VLOOKUP($A27,Beheersingsniveaus!$D$4:$K$154,4,FALSE)</f>
        <v>De code is opgesteld volgens code conventions.
Niet of nauwelijks</v>
      </c>
      <c r="E27" s="65" t="str">
        <f>VLOOKUP($A27,Beheersingsniveaus!$D$4:$K$154,5,FALSE)</f>
        <v>Enigszins</v>
      </c>
      <c r="F27" s="65" t="str">
        <f>VLOOKUP($A27,Beheersingsniveaus!$D$4:$K$154,6,FALSE)</f>
        <v>Grotendeels</v>
      </c>
      <c r="G27" s="65" t="str">
        <f>VLOOKUP($A27,Beheersingsniveaus!$D$4:$K$154,7,FALSE)</f>
        <v>Volledig</v>
      </c>
      <c r="H27" s="59">
        <f>VLOOKUP($A27,Beheersingsniveaus!$D$4:$K$154,8,FALSE)</f>
        <v>0</v>
      </c>
      <c r="I27" s="59" t="b">
        <v>0</v>
      </c>
      <c r="J27" s="59" t="b">
        <v>1</v>
      </c>
      <c r="K27" s="59" t="b">
        <v>0</v>
      </c>
      <c r="L27" s="59"/>
      <c r="M27" s="59">
        <f t="shared" si="0"/>
        <v>1</v>
      </c>
      <c r="N27" s="59">
        <f t="shared" si="1"/>
        <v>3</v>
      </c>
      <c r="O27" s="59">
        <f t="shared" si="2"/>
        <v>3</v>
      </c>
    </row>
    <row r="28" spans="1:15" ht="115.05" customHeight="1" x14ac:dyDescent="0.3">
      <c r="A28" s="63" t="s">
        <v>190</v>
      </c>
      <c r="B28" s="64" t="str">
        <f>VLOOKUP($A28,Beheersingsniveaus!$D$4:$K$154,2,FALSE)</f>
        <v>T5</v>
      </c>
      <c r="C28" s="64" t="str">
        <f>CONCATENATE(VLOOKUP($A28,Beheersingsniveaus!$D$4:$K$154,3,FALSE),IF($H28=ja,"*",""))</f>
        <v>Verzorging code</v>
      </c>
      <c r="D28" s="65" t="str">
        <f>VLOOKUP($A28,Beheersingsniveaus!$D$4:$K$154,4,FALSE)</f>
        <v>De code is verzorgd, leesbaar, gestructureerd en voorzien van zinvol commentaar.
Niet of nauwelijks</v>
      </c>
      <c r="E28" s="65" t="str">
        <f>VLOOKUP($A28,Beheersingsniveaus!$D$4:$K$154,5,FALSE)</f>
        <v>Enigszins</v>
      </c>
      <c r="F28" s="65" t="str">
        <f>VLOOKUP($A28,Beheersingsniveaus!$D$4:$K$154,6,FALSE)</f>
        <v>Grotendeels</v>
      </c>
      <c r="G28" s="65" t="str">
        <f>VLOOKUP($A28,Beheersingsniveaus!$D$4:$K$154,7,FALSE)</f>
        <v>Volledig</v>
      </c>
      <c r="H28" s="59">
        <f>VLOOKUP($A28,Beheersingsniveaus!$D$4:$K$154,8,FALSE)</f>
        <v>0</v>
      </c>
      <c r="I28" s="59" t="b">
        <v>0</v>
      </c>
      <c r="J28" s="59"/>
      <c r="K28" s="59" t="b">
        <v>1</v>
      </c>
      <c r="L28" s="59" t="b">
        <v>0</v>
      </c>
      <c r="M28" s="59">
        <f t="shared" si="0"/>
        <v>2</v>
      </c>
      <c r="N28" s="59">
        <f t="shared" si="1"/>
        <v>3</v>
      </c>
      <c r="O28" s="59">
        <f t="shared" si="2"/>
        <v>3</v>
      </c>
    </row>
    <row r="29" spans="1:15" ht="70.05" customHeight="1" x14ac:dyDescent="0.3">
      <c r="A29" s="63" t="s">
        <v>191</v>
      </c>
      <c r="B29" s="64" t="str">
        <f>VLOOKUP($A29,Beheersingsniveaus!$D$4:$K$154,2,FALSE)</f>
        <v>T5</v>
      </c>
      <c r="C29" s="64" t="str">
        <f>CONCATENATE(VLOOKUP($A29,Beheersingsniveaus!$D$4:$K$154,3,FALSE),IF($H29=ja,"*",""))</f>
        <v>Versiebeheer</v>
      </c>
      <c r="D29" s="65" t="str">
        <f>VLOOKUP($A29,Beheersingsniveaus!$D$4:$K$154,4,FALSE)</f>
        <v>Versiebeheer is effectief toegepast.
Niet of nauwelijks</v>
      </c>
      <c r="E29" s="65" t="str">
        <f>VLOOKUP($A29,Beheersingsniveaus!$D$4:$K$154,5,FALSE)</f>
        <v>Enigszins</v>
      </c>
      <c r="F29" s="65" t="str">
        <f>VLOOKUP($A29,Beheersingsniveaus!$D$4:$K$154,6,FALSE)</f>
        <v>Grotendeels</v>
      </c>
      <c r="G29" s="65" t="str">
        <f>VLOOKUP($A29,Beheersingsniveaus!$D$4:$K$154,7,FALSE)</f>
        <v>Volledig</v>
      </c>
      <c r="H29" s="59">
        <f>VLOOKUP($A29,Beheersingsniveaus!$D$4:$K$154,8,FALSE)</f>
        <v>0</v>
      </c>
      <c r="I29" s="59"/>
      <c r="J29" s="59" t="b">
        <v>0</v>
      </c>
      <c r="K29" s="59" t="b">
        <v>1</v>
      </c>
      <c r="L29" s="59"/>
      <c r="M29" s="59">
        <f t="shared" si="0"/>
        <v>2</v>
      </c>
      <c r="N29" s="59">
        <f t="shared" si="1"/>
        <v>3</v>
      </c>
      <c r="O29" s="59">
        <f t="shared" si="2"/>
        <v>2</v>
      </c>
    </row>
    <row r="30" spans="1:15" x14ac:dyDescent="0.3">
      <c r="B30" t="s">
        <v>174</v>
      </c>
    </row>
    <row r="31" spans="1:15" ht="28.5" customHeight="1" x14ac:dyDescent="0.5">
      <c r="B31" s="119" t="s">
        <v>192</v>
      </c>
      <c r="C31" s="120"/>
      <c r="D31" s="120"/>
      <c r="E31" s="120"/>
      <c r="F31" s="120"/>
      <c r="G31" s="120"/>
    </row>
    <row r="32" spans="1:15" ht="26.1" customHeight="1" x14ac:dyDescent="0.3">
      <c r="B32" s="66" t="s">
        <v>176</v>
      </c>
    </row>
    <row r="33" spans="1:10" hidden="1" x14ac:dyDescent="0.3">
      <c r="B33" t="s">
        <v>177</v>
      </c>
      <c r="C33" s="59">
        <f>COUNTIF($H:$H,ja)</f>
        <v>2</v>
      </c>
      <c r="D33" s="8" t="s">
        <v>178</v>
      </c>
      <c r="E33" s="60" t="b">
        <f>IF(COUNTIF(J33:J36,FALSE)=0,TRUE,FALSE)</f>
        <v>1</v>
      </c>
    </row>
    <row r="34" spans="1:10" x14ac:dyDescent="0.3">
      <c r="A34" t="s">
        <v>78</v>
      </c>
      <c r="B34" s="68" t="s">
        <v>179</v>
      </c>
      <c r="C34" s="68"/>
      <c r="D34" s="72" t="s">
        <v>180</v>
      </c>
      <c r="E34" s="73"/>
      <c r="H34" t="s">
        <v>181</v>
      </c>
      <c r="I34" t="s">
        <v>182</v>
      </c>
      <c r="J34" t="s">
        <v>183</v>
      </c>
    </row>
    <row r="35" spans="1:10" x14ac:dyDescent="0.3">
      <c r="A35" s="59" t="s">
        <v>186</v>
      </c>
      <c r="B35" t="str">
        <f>VLOOKUP($A35,Beheersingsniveaus!$D$3:$F$154,3,FALSE)</f>
        <v>Gerealiseerde user stories</v>
      </c>
      <c r="D35" s="74" t="s">
        <v>1</v>
      </c>
      <c r="E35" s="74" t="s">
        <v>2</v>
      </c>
      <c r="H35" s="59" t="b">
        <f>J35</f>
        <v>1</v>
      </c>
      <c r="I35" s="59" t="b">
        <v>0</v>
      </c>
      <c r="J35" s="59" t="b">
        <f>IF(VLOOKUP($A35,$A$21:$N$30,13,FALSE)&gt;0,TRUE,FALSE)</f>
        <v>1</v>
      </c>
    </row>
    <row r="36" spans="1:10" x14ac:dyDescent="0.3">
      <c r="A36" s="59" t="s">
        <v>188</v>
      </c>
      <c r="B36" t="str">
        <f>VLOOKUP($A36,Beheersingsniveaus!$D$3:$F$154,3,FALSE)</f>
        <v>Kwaliteit code</v>
      </c>
      <c r="D36" s="74" t="s">
        <v>1</v>
      </c>
      <c r="E36" s="74" t="s">
        <v>2</v>
      </c>
      <c r="H36" s="59" t="b">
        <f>J36</f>
        <v>1</v>
      </c>
      <c r="I36" s="59" t="b">
        <v>0</v>
      </c>
      <c r="J36" s="59" t="b">
        <f>IF(VLOOKUP($A36,$A$21:$N$30,13,FALSE)&gt;0,TRUE,FALSE)</f>
        <v>1</v>
      </c>
    </row>
    <row r="39" spans="1:10" x14ac:dyDescent="0.3">
      <c r="B39" t="s">
        <v>193</v>
      </c>
    </row>
    <row r="40" spans="1:10" x14ac:dyDescent="0.3">
      <c r="B40" s="75" t="s">
        <v>1</v>
      </c>
      <c r="C40" t="s">
        <v>194</v>
      </c>
      <c r="H40" s="59" t="b">
        <f>E33</f>
        <v>1</v>
      </c>
    </row>
    <row r="41" spans="1:10" x14ac:dyDescent="0.3">
      <c r="B41" s="75" t="s">
        <v>2</v>
      </c>
      <c r="C41" t="s">
        <v>195</v>
      </c>
      <c r="H41" s="59" t="b">
        <v>0</v>
      </c>
    </row>
    <row r="43" spans="1:10" ht="26.1" customHeight="1" x14ac:dyDescent="0.3">
      <c r="B43" s="66" t="s">
        <v>160</v>
      </c>
    </row>
    <row r="44" spans="1:10" x14ac:dyDescent="0.3">
      <c r="B44" s="68" t="s">
        <v>161</v>
      </c>
      <c r="C44" s="68" t="s">
        <v>162</v>
      </c>
      <c r="D44" s="67" t="s">
        <v>163</v>
      </c>
    </row>
    <row r="45" spans="1:10" x14ac:dyDescent="0.3">
      <c r="B45" s="69">
        <v>0</v>
      </c>
      <c r="C45" s="70">
        <f t="shared" ref="C45:C63" si="3">ROUNDUP(IF(B45&lt;$B$8,4.5/$B$8*B45+1,4.5/($B$4-$B$8)*(B45-$B$8)+5.5),1)</f>
        <v>1</v>
      </c>
      <c r="D45" s="62" t="str">
        <f t="shared" ref="D45:D63" si="4">IF($B45=$B$5,"X","")</f>
        <v/>
      </c>
    </row>
    <row r="46" spans="1:10" x14ac:dyDescent="0.3">
      <c r="B46" s="69">
        <v>1</v>
      </c>
      <c r="C46" s="70">
        <f t="shared" si="3"/>
        <v>1.5</v>
      </c>
      <c r="D46" s="62" t="str">
        <f t="shared" si="4"/>
        <v/>
      </c>
    </row>
    <row r="47" spans="1:10" x14ac:dyDescent="0.3">
      <c r="B47" s="69">
        <v>2</v>
      </c>
      <c r="C47" s="70">
        <f t="shared" si="3"/>
        <v>2</v>
      </c>
      <c r="D47" s="62" t="str">
        <f t="shared" si="4"/>
        <v/>
      </c>
    </row>
    <row r="48" spans="1:10" x14ac:dyDescent="0.3">
      <c r="B48" s="69">
        <v>3</v>
      </c>
      <c r="C48" s="70">
        <f t="shared" si="3"/>
        <v>2.5</v>
      </c>
      <c r="D48" s="62" t="str">
        <f t="shared" si="4"/>
        <v/>
      </c>
    </row>
    <row r="49" spans="2:4" x14ac:dyDescent="0.3">
      <c r="B49" s="69">
        <v>4</v>
      </c>
      <c r="C49" s="70">
        <f t="shared" si="3"/>
        <v>3</v>
      </c>
      <c r="D49" s="62" t="str">
        <f t="shared" si="4"/>
        <v/>
      </c>
    </row>
    <row r="50" spans="2:4" x14ac:dyDescent="0.3">
      <c r="B50" s="69">
        <v>5</v>
      </c>
      <c r="C50" s="70">
        <f t="shared" si="3"/>
        <v>3.5</v>
      </c>
      <c r="D50" s="62" t="str">
        <f t="shared" si="4"/>
        <v/>
      </c>
    </row>
    <row r="51" spans="2:4" x14ac:dyDescent="0.3">
      <c r="B51" s="69">
        <v>6</v>
      </c>
      <c r="C51" s="70">
        <f t="shared" si="3"/>
        <v>4</v>
      </c>
      <c r="D51" s="62" t="str">
        <f t="shared" si="4"/>
        <v/>
      </c>
    </row>
    <row r="52" spans="2:4" x14ac:dyDescent="0.3">
      <c r="B52" s="69">
        <v>7</v>
      </c>
      <c r="C52" s="70">
        <f t="shared" si="3"/>
        <v>4.5</v>
      </c>
      <c r="D52" s="62" t="str">
        <f t="shared" si="4"/>
        <v/>
      </c>
    </row>
    <row r="53" spans="2:4" x14ac:dyDescent="0.3">
      <c r="B53" s="69">
        <v>8</v>
      </c>
      <c r="C53" s="70">
        <f t="shared" si="3"/>
        <v>5</v>
      </c>
      <c r="D53" s="62" t="str">
        <f t="shared" si="4"/>
        <v/>
      </c>
    </row>
    <row r="54" spans="2:4" x14ac:dyDescent="0.3">
      <c r="B54" s="69">
        <v>9</v>
      </c>
      <c r="C54" s="70">
        <f t="shared" si="3"/>
        <v>5.5</v>
      </c>
      <c r="D54" s="62" t="str">
        <f t="shared" si="4"/>
        <v/>
      </c>
    </row>
    <row r="55" spans="2:4" x14ac:dyDescent="0.3">
      <c r="B55" s="69">
        <v>10</v>
      </c>
      <c r="C55" s="70">
        <f t="shared" si="3"/>
        <v>6</v>
      </c>
      <c r="D55" s="62" t="str">
        <f t="shared" si="4"/>
        <v>X</v>
      </c>
    </row>
    <row r="56" spans="2:4" x14ac:dyDescent="0.3">
      <c r="B56" s="69">
        <v>11</v>
      </c>
      <c r="C56" s="70">
        <f t="shared" si="3"/>
        <v>6.5</v>
      </c>
      <c r="D56" s="62" t="str">
        <f t="shared" si="4"/>
        <v/>
      </c>
    </row>
    <row r="57" spans="2:4" x14ac:dyDescent="0.3">
      <c r="B57" s="69">
        <v>12</v>
      </c>
      <c r="C57" s="70">
        <f t="shared" si="3"/>
        <v>7</v>
      </c>
      <c r="D57" s="62" t="str">
        <f t="shared" si="4"/>
        <v/>
      </c>
    </row>
    <row r="58" spans="2:4" x14ac:dyDescent="0.3">
      <c r="B58" s="69">
        <v>13</v>
      </c>
      <c r="C58" s="70">
        <f t="shared" si="3"/>
        <v>7.5</v>
      </c>
      <c r="D58" s="62" t="str">
        <f t="shared" si="4"/>
        <v/>
      </c>
    </row>
    <row r="59" spans="2:4" x14ac:dyDescent="0.3">
      <c r="B59" s="69">
        <v>14</v>
      </c>
      <c r="C59" s="70">
        <f t="shared" si="3"/>
        <v>8</v>
      </c>
      <c r="D59" s="62" t="str">
        <f t="shared" si="4"/>
        <v/>
      </c>
    </row>
    <row r="60" spans="2:4" x14ac:dyDescent="0.3">
      <c r="B60" s="69">
        <v>15</v>
      </c>
      <c r="C60" s="70">
        <f t="shared" si="3"/>
        <v>8.5</v>
      </c>
      <c r="D60" s="62" t="str">
        <f t="shared" si="4"/>
        <v/>
      </c>
    </row>
    <row r="61" spans="2:4" x14ac:dyDescent="0.3">
      <c r="B61" s="69">
        <v>16</v>
      </c>
      <c r="C61" s="70">
        <f t="shared" si="3"/>
        <v>9</v>
      </c>
      <c r="D61" s="62" t="str">
        <f t="shared" si="4"/>
        <v/>
      </c>
    </row>
    <row r="62" spans="2:4" x14ac:dyDescent="0.3">
      <c r="B62" s="69">
        <v>17</v>
      </c>
      <c r="C62" s="70">
        <f t="shared" si="3"/>
        <v>9.5</v>
      </c>
      <c r="D62" s="62" t="str">
        <f t="shared" si="4"/>
        <v/>
      </c>
    </row>
    <row r="63" spans="2:4" x14ac:dyDescent="0.3">
      <c r="B63" s="69">
        <v>18</v>
      </c>
      <c r="C63" s="70">
        <f t="shared" si="3"/>
        <v>10</v>
      </c>
      <c r="D63" s="62" t="str">
        <f t="shared" si="4"/>
        <v/>
      </c>
    </row>
    <row r="64" spans="2:4" hidden="1" x14ac:dyDescent="0.3">
      <c r="B64" s="69">
        <f>IF(D45="X","",IF(D46="X",C46,IF(D47="X",C47,IF(D48="X",C48,IF(D49="X",C49,IF(D50="X",C50,IF(D51="X",C51,IF(D52="X",C52,IF(D53="X",C53,IF(D54="X",C54,IF(D55="X",C55,IF(D56="X",C56,IF(D57="X",C57,IF(D58="X",C58,IF(D59="X",C59,IF(D60="X",C60,IF(D61="X",C61,IF(D62="X",C62,IF(D63="X",C63,"")))))))))))))))))))</f>
        <v>6</v>
      </c>
      <c r="C64" s="70"/>
      <c r="D64" s="62"/>
    </row>
    <row r="66" spans="2:7" ht="26.1" customHeight="1" x14ac:dyDescent="0.3">
      <c r="B66" s="66" t="s">
        <v>164</v>
      </c>
    </row>
    <row r="67" spans="2:7" x14ac:dyDescent="0.3">
      <c r="B67" t="s">
        <v>165</v>
      </c>
    </row>
    <row r="68" spans="2:7" ht="35.1" customHeight="1" x14ac:dyDescent="0.3">
      <c r="B68" s="121" t="s">
        <v>7</v>
      </c>
      <c r="C68" s="121"/>
      <c r="D68" s="121"/>
      <c r="E68" s="121"/>
      <c r="F68" s="121"/>
      <c r="G68" s="121"/>
    </row>
    <row r="69" spans="2:7" ht="300" customHeight="1" x14ac:dyDescent="0.3">
      <c r="B69" s="117"/>
      <c r="C69" s="117"/>
      <c r="D69" s="117"/>
      <c r="E69" s="117"/>
      <c r="F69" s="117"/>
      <c r="G69" s="117"/>
    </row>
    <row r="71" spans="2:7" ht="26.1" customHeight="1" x14ac:dyDescent="0.3">
      <c r="B71" s="66" t="s">
        <v>134</v>
      </c>
    </row>
    <row r="72" spans="2:7" x14ac:dyDescent="0.3">
      <c r="B72" s="71" t="s">
        <v>166</v>
      </c>
    </row>
    <row r="73" spans="2:7" x14ac:dyDescent="0.3">
      <c r="B73" t="s">
        <v>167</v>
      </c>
    </row>
    <row r="76" spans="2:7" x14ac:dyDescent="0.3">
      <c r="B76" t="s">
        <v>168</v>
      </c>
    </row>
    <row r="77" spans="2:7" ht="50.1" customHeight="1" x14ac:dyDescent="0.3">
      <c r="B77" s="117"/>
      <c r="C77" s="117"/>
      <c r="D77" s="117"/>
      <c r="E77" s="117"/>
      <c r="F77" s="117"/>
      <c r="G77" s="117"/>
    </row>
  </sheetData>
  <mergeCells count="8">
    <mergeCell ref="B69:G69"/>
    <mergeCell ref="B77:G77"/>
    <mergeCell ref="B10:G10"/>
    <mergeCell ref="B11:G11"/>
    <mergeCell ref="B13:G13"/>
    <mergeCell ref="B21:G21"/>
    <mergeCell ref="B31:G31"/>
    <mergeCell ref="B68:G68"/>
  </mergeCells>
  <conditionalFormatting sqref="B24:G24">
    <cfRule type="expression" dxfId="18" priority="1" stopIfTrue="1">
      <formula>COUNTIF($I24:$L24,TRUE)&gt;1</formula>
    </cfRule>
  </conditionalFormatting>
  <conditionalFormatting sqref="B25:G25">
    <cfRule type="expression" dxfId="17" priority="2" stopIfTrue="1">
      <formula>COUNTIF($I25:$L25,TRUE)&gt;1</formula>
    </cfRule>
  </conditionalFormatting>
  <conditionalFormatting sqref="B26:G26">
    <cfRule type="expression" dxfId="16" priority="3" stopIfTrue="1">
      <formula>COUNTIF($I26:$L26,TRUE)&gt;1</formula>
    </cfRule>
  </conditionalFormatting>
  <conditionalFormatting sqref="B27:G27">
    <cfRule type="expression" dxfId="15" priority="4" stopIfTrue="1">
      <formula>COUNTIF($I27:$L27,TRUE)&gt;1</formula>
    </cfRule>
  </conditionalFormatting>
  <conditionalFormatting sqref="B28:G28">
    <cfRule type="expression" dxfId="14" priority="5" stopIfTrue="1">
      <formula>COUNTIF($I28:$L28,TRUE)&gt;1</formula>
    </cfRule>
  </conditionalFormatting>
  <conditionalFormatting sqref="B29:G29">
    <cfRule type="expression" dxfId="13" priority="6" stopIfTrue="1">
      <formula>COUNTIF($I29:$L29,TRUE)&gt;1</formula>
    </cfRule>
  </conditionalFormatting>
  <conditionalFormatting sqref="B45:C64">
    <cfRule type="expression" dxfId="12" priority="7" stopIfTrue="1">
      <formula>$E$33=FALSE</formula>
    </cfRule>
  </conditionalFormatting>
  <conditionalFormatting sqref="D44:D64">
    <cfRule type="expression" dxfId="11" priority="8" stopIfTrue="1">
      <formula>$E$33=FALSE</formula>
    </cfRule>
  </conditionalFormatting>
  <pageMargins left="0.70866141732283472" right="0.70866141732283472" top="0.74803149606299213" bottom="0.74803149606299213" header="0.31496062992125984" footer="0.31496062992125984"/>
  <pageSetup paperSize="9" scale="65" fitToHeight="0" orientation="portrait" r:id="rId1"/>
  <headerFooter>
    <oddFooter>&amp;L© Stichting Praktijkleren&amp;C[Examencode]&amp;R&amp;P/&amp;N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6322" r:id="rId4" name="Check Box 2">
              <controlPr defaultSize="0" autoFill="0" autoLine="0" autoPict="0" macro="[0]!'OnClickCheckbox 24'">
                <anchor moveWithCells="1">
                  <from>
                    <xdr:col>3</xdr:col>
                    <xdr:colOff>0</xdr:colOff>
                    <xdr:row>23</xdr:row>
                    <xdr:rowOff>0</xdr:rowOff>
                  </from>
                  <to>
                    <xdr:col>4</xdr:col>
                    <xdr:colOff>0</xdr:colOff>
                    <xdr:row>23</xdr:row>
                    <xdr:rowOff>213360</xdr:rowOff>
                  </to>
                </anchor>
              </controlPr>
            </control>
          </mc:Choice>
        </mc:AlternateContent>
        <mc:AlternateContent xmlns:mc="http://schemas.openxmlformats.org/markup-compatibility/2006">
          <mc:Choice Requires="x14">
            <control shapeId="56323" r:id="rId5" name="Check Box 3">
              <controlPr defaultSize="0" autoFill="0" autoLine="0" autoPict="0" macro="[0]!'OnClickCheckbox 24'">
                <anchor moveWithCells="1">
                  <from>
                    <xdr:col>4</xdr:col>
                    <xdr:colOff>0</xdr:colOff>
                    <xdr:row>23</xdr:row>
                    <xdr:rowOff>0</xdr:rowOff>
                  </from>
                  <to>
                    <xdr:col>5</xdr:col>
                    <xdr:colOff>0</xdr:colOff>
                    <xdr:row>23</xdr:row>
                    <xdr:rowOff>213360</xdr:rowOff>
                  </to>
                </anchor>
              </controlPr>
            </control>
          </mc:Choice>
        </mc:AlternateContent>
        <mc:AlternateContent xmlns:mc="http://schemas.openxmlformats.org/markup-compatibility/2006">
          <mc:Choice Requires="x14">
            <control shapeId="56324" r:id="rId6" name="Check Box 4">
              <controlPr defaultSize="0" autoFill="0" autoLine="0" autoPict="0" macro="[0]!'OnClickCheckbox 24'">
                <anchor moveWithCells="1">
                  <from>
                    <xdr:col>5</xdr:col>
                    <xdr:colOff>0</xdr:colOff>
                    <xdr:row>23</xdr:row>
                    <xdr:rowOff>0</xdr:rowOff>
                  </from>
                  <to>
                    <xdr:col>6</xdr:col>
                    <xdr:colOff>0</xdr:colOff>
                    <xdr:row>23</xdr:row>
                    <xdr:rowOff>213360</xdr:rowOff>
                  </to>
                </anchor>
              </controlPr>
            </control>
          </mc:Choice>
        </mc:AlternateContent>
        <mc:AlternateContent xmlns:mc="http://schemas.openxmlformats.org/markup-compatibility/2006">
          <mc:Choice Requires="x14">
            <control shapeId="56325" r:id="rId7" name="Check Box 5">
              <controlPr defaultSize="0" autoFill="0" autoLine="0" autoPict="0" macro="[0]!'OnClickCheckbox 24'">
                <anchor moveWithCells="1">
                  <from>
                    <xdr:col>6</xdr:col>
                    <xdr:colOff>0</xdr:colOff>
                    <xdr:row>23</xdr:row>
                    <xdr:rowOff>0</xdr:rowOff>
                  </from>
                  <to>
                    <xdr:col>7</xdr:col>
                    <xdr:colOff>0</xdr:colOff>
                    <xdr:row>23</xdr:row>
                    <xdr:rowOff>213360</xdr:rowOff>
                  </to>
                </anchor>
              </controlPr>
            </control>
          </mc:Choice>
        </mc:AlternateContent>
        <mc:AlternateContent xmlns:mc="http://schemas.openxmlformats.org/markup-compatibility/2006">
          <mc:Choice Requires="x14">
            <control shapeId="56326" r:id="rId8" name="Check Box 6">
              <controlPr defaultSize="0" autoFill="0" autoLine="0" autoPict="0" macro="[0]!'OnClickCheckbox 25'">
                <anchor moveWithCells="1">
                  <from>
                    <xdr:col>3</xdr:col>
                    <xdr:colOff>0</xdr:colOff>
                    <xdr:row>24</xdr:row>
                    <xdr:rowOff>0</xdr:rowOff>
                  </from>
                  <to>
                    <xdr:col>4</xdr:col>
                    <xdr:colOff>0</xdr:colOff>
                    <xdr:row>24</xdr:row>
                    <xdr:rowOff>213360</xdr:rowOff>
                  </to>
                </anchor>
              </controlPr>
            </control>
          </mc:Choice>
        </mc:AlternateContent>
        <mc:AlternateContent xmlns:mc="http://schemas.openxmlformats.org/markup-compatibility/2006">
          <mc:Choice Requires="x14">
            <control shapeId="56327" r:id="rId9" name="Check Box 7">
              <controlPr defaultSize="0" autoFill="0" autoLine="0" autoPict="0" macro="[0]!'OnClickCheckbox 25'">
                <anchor moveWithCells="1">
                  <from>
                    <xdr:col>4</xdr:col>
                    <xdr:colOff>0</xdr:colOff>
                    <xdr:row>24</xdr:row>
                    <xdr:rowOff>0</xdr:rowOff>
                  </from>
                  <to>
                    <xdr:col>5</xdr:col>
                    <xdr:colOff>0</xdr:colOff>
                    <xdr:row>24</xdr:row>
                    <xdr:rowOff>213360</xdr:rowOff>
                  </to>
                </anchor>
              </controlPr>
            </control>
          </mc:Choice>
        </mc:AlternateContent>
        <mc:AlternateContent xmlns:mc="http://schemas.openxmlformats.org/markup-compatibility/2006">
          <mc:Choice Requires="x14">
            <control shapeId="56328" r:id="rId10" name="Check Box 8">
              <controlPr defaultSize="0" autoFill="0" autoLine="0" autoPict="0" macro="[0]!'OnClickCheckbox 25'">
                <anchor moveWithCells="1">
                  <from>
                    <xdr:col>5</xdr:col>
                    <xdr:colOff>0</xdr:colOff>
                    <xdr:row>24</xdr:row>
                    <xdr:rowOff>0</xdr:rowOff>
                  </from>
                  <to>
                    <xdr:col>6</xdr:col>
                    <xdr:colOff>0</xdr:colOff>
                    <xdr:row>24</xdr:row>
                    <xdr:rowOff>213360</xdr:rowOff>
                  </to>
                </anchor>
              </controlPr>
            </control>
          </mc:Choice>
        </mc:AlternateContent>
        <mc:AlternateContent xmlns:mc="http://schemas.openxmlformats.org/markup-compatibility/2006">
          <mc:Choice Requires="x14">
            <control shapeId="56329" r:id="rId11" name="Check Box 9">
              <controlPr defaultSize="0" autoFill="0" autoLine="0" autoPict="0" macro="[0]!'OnClickCheckbox 25'">
                <anchor moveWithCells="1">
                  <from>
                    <xdr:col>6</xdr:col>
                    <xdr:colOff>0</xdr:colOff>
                    <xdr:row>24</xdr:row>
                    <xdr:rowOff>0</xdr:rowOff>
                  </from>
                  <to>
                    <xdr:col>7</xdr:col>
                    <xdr:colOff>0</xdr:colOff>
                    <xdr:row>24</xdr:row>
                    <xdr:rowOff>213360</xdr:rowOff>
                  </to>
                </anchor>
              </controlPr>
            </control>
          </mc:Choice>
        </mc:AlternateContent>
        <mc:AlternateContent xmlns:mc="http://schemas.openxmlformats.org/markup-compatibility/2006">
          <mc:Choice Requires="x14">
            <control shapeId="56330" r:id="rId12" name="Check Box 10">
              <controlPr defaultSize="0" autoFill="0" autoLine="0" autoPict="0" macro="[0]!'OnClickCheckbox 26'">
                <anchor moveWithCells="1">
                  <from>
                    <xdr:col>3</xdr:col>
                    <xdr:colOff>0</xdr:colOff>
                    <xdr:row>25</xdr:row>
                    <xdr:rowOff>0</xdr:rowOff>
                  </from>
                  <to>
                    <xdr:col>4</xdr:col>
                    <xdr:colOff>0</xdr:colOff>
                    <xdr:row>25</xdr:row>
                    <xdr:rowOff>213360</xdr:rowOff>
                  </to>
                </anchor>
              </controlPr>
            </control>
          </mc:Choice>
        </mc:AlternateContent>
        <mc:AlternateContent xmlns:mc="http://schemas.openxmlformats.org/markup-compatibility/2006">
          <mc:Choice Requires="x14">
            <control shapeId="56331" r:id="rId13" name="Check Box 11">
              <controlPr defaultSize="0" autoFill="0" autoLine="0" autoPict="0" macro="[0]!'OnClickCheckbox 26'">
                <anchor moveWithCells="1">
                  <from>
                    <xdr:col>4</xdr:col>
                    <xdr:colOff>0</xdr:colOff>
                    <xdr:row>25</xdr:row>
                    <xdr:rowOff>0</xdr:rowOff>
                  </from>
                  <to>
                    <xdr:col>5</xdr:col>
                    <xdr:colOff>0</xdr:colOff>
                    <xdr:row>25</xdr:row>
                    <xdr:rowOff>213360</xdr:rowOff>
                  </to>
                </anchor>
              </controlPr>
            </control>
          </mc:Choice>
        </mc:AlternateContent>
        <mc:AlternateContent xmlns:mc="http://schemas.openxmlformats.org/markup-compatibility/2006">
          <mc:Choice Requires="x14">
            <control shapeId="56332" r:id="rId14" name="Check Box 12">
              <controlPr defaultSize="0" autoFill="0" autoLine="0" autoPict="0" macro="[0]!'OnClickCheckbox 26'">
                <anchor moveWithCells="1">
                  <from>
                    <xdr:col>5</xdr:col>
                    <xdr:colOff>0</xdr:colOff>
                    <xdr:row>25</xdr:row>
                    <xdr:rowOff>0</xdr:rowOff>
                  </from>
                  <to>
                    <xdr:col>6</xdr:col>
                    <xdr:colOff>0</xdr:colOff>
                    <xdr:row>25</xdr:row>
                    <xdr:rowOff>213360</xdr:rowOff>
                  </to>
                </anchor>
              </controlPr>
            </control>
          </mc:Choice>
        </mc:AlternateContent>
        <mc:AlternateContent xmlns:mc="http://schemas.openxmlformats.org/markup-compatibility/2006">
          <mc:Choice Requires="x14">
            <control shapeId="56333" r:id="rId15" name="Check Box 13">
              <controlPr defaultSize="0" autoFill="0" autoLine="0" autoPict="0" macro="[0]!'OnClickCheckbox 26'">
                <anchor moveWithCells="1">
                  <from>
                    <xdr:col>6</xdr:col>
                    <xdr:colOff>0</xdr:colOff>
                    <xdr:row>25</xdr:row>
                    <xdr:rowOff>0</xdr:rowOff>
                  </from>
                  <to>
                    <xdr:col>7</xdr:col>
                    <xdr:colOff>0</xdr:colOff>
                    <xdr:row>25</xdr:row>
                    <xdr:rowOff>213360</xdr:rowOff>
                  </to>
                </anchor>
              </controlPr>
            </control>
          </mc:Choice>
        </mc:AlternateContent>
        <mc:AlternateContent xmlns:mc="http://schemas.openxmlformats.org/markup-compatibility/2006">
          <mc:Choice Requires="x14">
            <control shapeId="56334" r:id="rId16" name="Check Box 14">
              <controlPr defaultSize="0" autoFill="0" autoLine="0" autoPict="0" macro="[0]!'OnClickCheckbox 27'">
                <anchor moveWithCells="1">
                  <from>
                    <xdr:col>3</xdr:col>
                    <xdr:colOff>0</xdr:colOff>
                    <xdr:row>26</xdr:row>
                    <xdr:rowOff>0</xdr:rowOff>
                  </from>
                  <to>
                    <xdr:col>4</xdr:col>
                    <xdr:colOff>0</xdr:colOff>
                    <xdr:row>26</xdr:row>
                    <xdr:rowOff>213360</xdr:rowOff>
                  </to>
                </anchor>
              </controlPr>
            </control>
          </mc:Choice>
        </mc:AlternateContent>
        <mc:AlternateContent xmlns:mc="http://schemas.openxmlformats.org/markup-compatibility/2006">
          <mc:Choice Requires="x14">
            <control shapeId="56335" r:id="rId17" name="Check Box 15">
              <controlPr defaultSize="0" autoFill="0" autoLine="0" autoPict="0" macro="[0]!'OnClickCheckbox 27'">
                <anchor moveWithCells="1">
                  <from>
                    <xdr:col>4</xdr:col>
                    <xdr:colOff>0</xdr:colOff>
                    <xdr:row>26</xdr:row>
                    <xdr:rowOff>0</xdr:rowOff>
                  </from>
                  <to>
                    <xdr:col>5</xdr:col>
                    <xdr:colOff>0</xdr:colOff>
                    <xdr:row>26</xdr:row>
                    <xdr:rowOff>213360</xdr:rowOff>
                  </to>
                </anchor>
              </controlPr>
            </control>
          </mc:Choice>
        </mc:AlternateContent>
        <mc:AlternateContent xmlns:mc="http://schemas.openxmlformats.org/markup-compatibility/2006">
          <mc:Choice Requires="x14">
            <control shapeId="56336" r:id="rId18" name="Check Box 16">
              <controlPr defaultSize="0" autoFill="0" autoLine="0" autoPict="0" macro="[0]!'OnClickCheckbox 27'">
                <anchor moveWithCells="1">
                  <from>
                    <xdr:col>5</xdr:col>
                    <xdr:colOff>0</xdr:colOff>
                    <xdr:row>26</xdr:row>
                    <xdr:rowOff>0</xdr:rowOff>
                  </from>
                  <to>
                    <xdr:col>6</xdr:col>
                    <xdr:colOff>0</xdr:colOff>
                    <xdr:row>26</xdr:row>
                    <xdr:rowOff>213360</xdr:rowOff>
                  </to>
                </anchor>
              </controlPr>
            </control>
          </mc:Choice>
        </mc:AlternateContent>
        <mc:AlternateContent xmlns:mc="http://schemas.openxmlformats.org/markup-compatibility/2006">
          <mc:Choice Requires="x14">
            <control shapeId="56337" r:id="rId19" name="Check Box 17">
              <controlPr defaultSize="0" autoFill="0" autoLine="0" autoPict="0" macro="[0]!'OnClickCheckbox 27'">
                <anchor moveWithCells="1">
                  <from>
                    <xdr:col>6</xdr:col>
                    <xdr:colOff>0</xdr:colOff>
                    <xdr:row>26</xdr:row>
                    <xdr:rowOff>0</xdr:rowOff>
                  </from>
                  <to>
                    <xdr:col>7</xdr:col>
                    <xdr:colOff>0</xdr:colOff>
                    <xdr:row>26</xdr:row>
                    <xdr:rowOff>213360</xdr:rowOff>
                  </to>
                </anchor>
              </controlPr>
            </control>
          </mc:Choice>
        </mc:AlternateContent>
        <mc:AlternateContent xmlns:mc="http://schemas.openxmlformats.org/markup-compatibility/2006">
          <mc:Choice Requires="x14">
            <control shapeId="56338" r:id="rId20" name="Check Box 18">
              <controlPr defaultSize="0" autoFill="0" autoLine="0" autoPict="0" macro="[0]!'OnClickCheckbox 28'">
                <anchor moveWithCells="1">
                  <from>
                    <xdr:col>3</xdr:col>
                    <xdr:colOff>0</xdr:colOff>
                    <xdr:row>27</xdr:row>
                    <xdr:rowOff>0</xdr:rowOff>
                  </from>
                  <to>
                    <xdr:col>4</xdr:col>
                    <xdr:colOff>0</xdr:colOff>
                    <xdr:row>27</xdr:row>
                    <xdr:rowOff>213360</xdr:rowOff>
                  </to>
                </anchor>
              </controlPr>
            </control>
          </mc:Choice>
        </mc:AlternateContent>
        <mc:AlternateContent xmlns:mc="http://schemas.openxmlformats.org/markup-compatibility/2006">
          <mc:Choice Requires="x14">
            <control shapeId="56339" r:id="rId21" name="Check Box 19">
              <controlPr defaultSize="0" autoFill="0" autoLine="0" autoPict="0" macro="[0]!'OnClickCheckbox 28'">
                <anchor moveWithCells="1">
                  <from>
                    <xdr:col>4</xdr:col>
                    <xdr:colOff>0</xdr:colOff>
                    <xdr:row>27</xdr:row>
                    <xdr:rowOff>0</xdr:rowOff>
                  </from>
                  <to>
                    <xdr:col>5</xdr:col>
                    <xdr:colOff>0</xdr:colOff>
                    <xdr:row>27</xdr:row>
                    <xdr:rowOff>213360</xdr:rowOff>
                  </to>
                </anchor>
              </controlPr>
            </control>
          </mc:Choice>
        </mc:AlternateContent>
        <mc:AlternateContent xmlns:mc="http://schemas.openxmlformats.org/markup-compatibility/2006">
          <mc:Choice Requires="x14">
            <control shapeId="56340" r:id="rId22" name="Check Box 20">
              <controlPr defaultSize="0" autoFill="0" autoLine="0" autoPict="0" macro="[0]!'OnClickCheckbox 28'">
                <anchor moveWithCells="1">
                  <from>
                    <xdr:col>5</xdr:col>
                    <xdr:colOff>0</xdr:colOff>
                    <xdr:row>27</xdr:row>
                    <xdr:rowOff>0</xdr:rowOff>
                  </from>
                  <to>
                    <xdr:col>6</xdr:col>
                    <xdr:colOff>0</xdr:colOff>
                    <xdr:row>27</xdr:row>
                    <xdr:rowOff>213360</xdr:rowOff>
                  </to>
                </anchor>
              </controlPr>
            </control>
          </mc:Choice>
        </mc:AlternateContent>
        <mc:AlternateContent xmlns:mc="http://schemas.openxmlformats.org/markup-compatibility/2006">
          <mc:Choice Requires="x14">
            <control shapeId="56341" r:id="rId23" name="Check Box 21">
              <controlPr defaultSize="0" autoFill="0" autoLine="0" autoPict="0" macro="[0]!'OnClickCheckbox 28'">
                <anchor moveWithCells="1">
                  <from>
                    <xdr:col>6</xdr:col>
                    <xdr:colOff>0</xdr:colOff>
                    <xdr:row>27</xdr:row>
                    <xdr:rowOff>0</xdr:rowOff>
                  </from>
                  <to>
                    <xdr:col>7</xdr:col>
                    <xdr:colOff>0</xdr:colOff>
                    <xdr:row>27</xdr:row>
                    <xdr:rowOff>213360</xdr:rowOff>
                  </to>
                </anchor>
              </controlPr>
            </control>
          </mc:Choice>
        </mc:AlternateContent>
        <mc:AlternateContent xmlns:mc="http://schemas.openxmlformats.org/markup-compatibility/2006">
          <mc:Choice Requires="x14">
            <control shapeId="56342" r:id="rId24" name="Check Box 22">
              <controlPr defaultSize="0" autoFill="0" autoLine="0" autoPict="0" macro="[0]!'OnClickCheckbox 29'">
                <anchor moveWithCells="1">
                  <from>
                    <xdr:col>3</xdr:col>
                    <xdr:colOff>0</xdr:colOff>
                    <xdr:row>28</xdr:row>
                    <xdr:rowOff>0</xdr:rowOff>
                  </from>
                  <to>
                    <xdr:col>4</xdr:col>
                    <xdr:colOff>0</xdr:colOff>
                    <xdr:row>28</xdr:row>
                    <xdr:rowOff>213360</xdr:rowOff>
                  </to>
                </anchor>
              </controlPr>
            </control>
          </mc:Choice>
        </mc:AlternateContent>
        <mc:AlternateContent xmlns:mc="http://schemas.openxmlformats.org/markup-compatibility/2006">
          <mc:Choice Requires="x14">
            <control shapeId="56343" r:id="rId25" name="Check Box 23">
              <controlPr defaultSize="0" autoFill="0" autoLine="0" autoPict="0" macro="[0]!'OnClickCheckbox 29'">
                <anchor moveWithCells="1">
                  <from>
                    <xdr:col>4</xdr:col>
                    <xdr:colOff>0</xdr:colOff>
                    <xdr:row>28</xdr:row>
                    <xdr:rowOff>0</xdr:rowOff>
                  </from>
                  <to>
                    <xdr:col>5</xdr:col>
                    <xdr:colOff>0</xdr:colOff>
                    <xdr:row>28</xdr:row>
                    <xdr:rowOff>213360</xdr:rowOff>
                  </to>
                </anchor>
              </controlPr>
            </control>
          </mc:Choice>
        </mc:AlternateContent>
        <mc:AlternateContent xmlns:mc="http://schemas.openxmlformats.org/markup-compatibility/2006">
          <mc:Choice Requires="x14">
            <control shapeId="56344" r:id="rId26" name="Check Box 24">
              <controlPr defaultSize="0" autoFill="0" autoLine="0" autoPict="0" macro="[0]!'OnClickCheckbox 29'">
                <anchor moveWithCells="1">
                  <from>
                    <xdr:col>5</xdr:col>
                    <xdr:colOff>0</xdr:colOff>
                    <xdr:row>28</xdr:row>
                    <xdr:rowOff>0</xdr:rowOff>
                  </from>
                  <to>
                    <xdr:col>6</xdr:col>
                    <xdr:colOff>0</xdr:colOff>
                    <xdr:row>28</xdr:row>
                    <xdr:rowOff>213360</xdr:rowOff>
                  </to>
                </anchor>
              </controlPr>
            </control>
          </mc:Choice>
        </mc:AlternateContent>
        <mc:AlternateContent xmlns:mc="http://schemas.openxmlformats.org/markup-compatibility/2006">
          <mc:Choice Requires="x14">
            <control shapeId="56345" r:id="rId27" name="Check Box 25">
              <controlPr defaultSize="0" autoFill="0" autoLine="0" autoPict="0" macro="[0]!'OnClickCheckbox 29'">
                <anchor moveWithCells="1">
                  <from>
                    <xdr:col>6</xdr:col>
                    <xdr:colOff>0</xdr:colOff>
                    <xdr:row>28</xdr:row>
                    <xdr:rowOff>0</xdr:rowOff>
                  </from>
                  <to>
                    <xdr:col>7</xdr:col>
                    <xdr:colOff>0</xdr:colOff>
                    <xdr:row>28</xdr:row>
                    <xdr:rowOff>213360</xdr:rowOff>
                  </to>
                </anchor>
              </controlPr>
            </control>
          </mc:Choice>
        </mc:AlternateContent>
        <mc:AlternateContent xmlns:mc="http://schemas.openxmlformats.org/markup-compatibility/2006">
          <mc:Choice Requires="x14">
            <control shapeId="56346" r:id="rId28" name="Check Box 26">
              <controlPr defaultSize="0" autoFill="0" autoLine="0" autoPict="0">
                <anchor moveWithCells="1">
                  <from>
                    <xdr:col>3</xdr:col>
                    <xdr:colOff>0</xdr:colOff>
                    <xdr:row>34</xdr:row>
                    <xdr:rowOff>0</xdr:rowOff>
                  </from>
                  <to>
                    <xdr:col>4</xdr:col>
                    <xdr:colOff>0</xdr:colOff>
                    <xdr:row>35</xdr:row>
                    <xdr:rowOff>22860</xdr:rowOff>
                  </to>
                </anchor>
              </controlPr>
            </control>
          </mc:Choice>
        </mc:AlternateContent>
        <mc:AlternateContent xmlns:mc="http://schemas.openxmlformats.org/markup-compatibility/2006">
          <mc:Choice Requires="x14">
            <control shapeId="56347" r:id="rId29" name="Check Box 27">
              <controlPr defaultSize="0" autoFill="0" autoLine="0" autoPict="0">
                <anchor moveWithCells="1">
                  <from>
                    <xdr:col>4</xdr:col>
                    <xdr:colOff>0</xdr:colOff>
                    <xdr:row>34</xdr:row>
                    <xdr:rowOff>0</xdr:rowOff>
                  </from>
                  <to>
                    <xdr:col>5</xdr:col>
                    <xdr:colOff>0</xdr:colOff>
                    <xdr:row>35</xdr:row>
                    <xdr:rowOff>22860</xdr:rowOff>
                  </to>
                </anchor>
              </controlPr>
            </control>
          </mc:Choice>
        </mc:AlternateContent>
        <mc:AlternateContent xmlns:mc="http://schemas.openxmlformats.org/markup-compatibility/2006">
          <mc:Choice Requires="x14">
            <control shapeId="56348" r:id="rId30" name="Check Box 28">
              <controlPr defaultSize="0" autoFill="0" autoLine="0" autoPict="0">
                <anchor moveWithCells="1">
                  <from>
                    <xdr:col>3</xdr:col>
                    <xdr:colOff>0</xdr:colOff>
                    <xdr:row>35</xdr:row>
                    <xdr:rowOff>0</xdr:rowOff>
                  </from>
                  <to>
                    <xdr:col>4</xdr:col>
                    <xdr:colOff>0</xdr:colOff>
                    <xdr:row>36</xdr:row>
                    <xdr:rowOff>22860</xdr:rowOff>
                  </to>
                </anchor>
              </controlPr>
            </control>
          </mc:Choice>
        </mc:AlternateContent>
        <mc:AlternateContent xmlns:mc="http://schemas.openxmlformats.org/markup-compatibility/2006">
          <mc:Choice Requires="x14">
            <control shapeId="56349" r:id="rId31" name="Check Box 29">
              <controlPr defaultSize="0" autoFill="0" autoLine="0" autoPict="0">
                <anchor moveWithCells="1">
                  <from>
                    <xdr:col>4</xdr:col>
                    <xdr:colOff>0</xdr:colOff>
                    <xdr:row>35</xdr:row>
                    <xdr:rowOff>0</xdr:rowOff>
                  </from>
                  <to>
                    <xdr:col>5</xdr:col>
                    <xdr:colOff>0</xdr:colOff>
                    <xdr:row>36</xdr:row>
                    <xdr:rowOff>22860</xdr:rowOff>
                  </to>
                </anchor>
              </controlPr>
            </control>
          </mc:Choice>
        </mc:AlternateContent>
        <mc:AlternateContent xmlns:mc="http://schemas.openxmlformats.org/markup-compatibility/2006">
          <mc:Choice Requires="x14">
            <control shapeId="56350" r:id="rId32" name="Check Box 30">
              <controlPr defaultSize="0" autoFill="0" autoLine="0" autoPict="0">
                <anchor moveWithCells="1">
                  <from>
                    <xdr:col>1</xdr:col>
                    <xdr:colOff>0</xdr:colOff>
                    <xdr:row>39</xdr:row>
                    <xdr:rowOff>0</xdr:rowOff>
                  </from>
                  <to>
                    <xdr:col>2</xdr:col>
                    <xdr:colOff>0</xdr:colOff>
                    <xdr:row>40</xdr:row>
                    <xdr:rowOff>22860</xdr:rowOff>
                  </to>
                </anchor>
              </controlPr>
            </control>
          </mc:Choice>
        </mc:AlternateContent>
        <mc:AlternateContent xmlns:mc="http://schemas.openxmlformats.org/markup-compatibility/2006">
          <mc:Choice Requires="x14">
            <control shapeId="56351" r:id="rId33" name="Check Box 31">
              <controlPr defaultSize="0" autoFill="0" autoLine="0" autoPict="0">
                <anchor moveWithCells="1">
                  <from>
                    <xdr:col>1</xdr:col>
                    <xdr:colOff>0</xdr:colOff>
                    <xdr:row>40</xdr:row>
                    <xdr:rowOff>0</xdr:rowOff>
                  </from>
                  <to>
                    <xdr:col>2</xdr:col>
                    <xdr:colOff>0</xdr:colOff>
                    <xdr:row>41</xdr:row>
                    <xdr:rowOff>22860</xdr:rowOff>
                  </to>
                </anchor>
              </controlPr>
            </control>
          </mc:Choice>
        </mc:AlternateContent>
        <mc:AlternateContent xmlns:mc="http://schemas.openxmlformats.org/markup-compatibility/2006">
          <mc:Choice Requires="x14">
            <control shapeId="56352" r:id="rId34" name="Check Box 32">
              <controlPr defaultSize="0" autoFill="0" autoLine="0" autoPict="0">
                <anchor moveWithCells="1">
                  <from>
                    <xdr:col>1</xdr:col>
                    <xdr:colOff>0</xdr:colOff>
                    <xdr:row>73</xdr:row>
                    <xdr:rowOff>0</xdr:rowOff>
                  </from>
                  <to>
                    <xdr:col>2</xdr:col>
                    <xdr:colOff>0</xdr:colOff>
                    <xdr:row>74</xdr:row>
                    <xdr:rowOff>22860</xdr:rowOff>
                  </to>
                </anchor>
              </controlPr>
            </control>
          </mc:Choice>
        </mc:AlternateContent>
        <mc:AlternateContent xmlns:mc="http://schemas.openxmlformats.org/markup-compatibility/2006">
          <mc:Choice Requires="x14">
            <control shapeId="56353" r:id="rId35" name="Check Box 33">
              <controlPr defaultSize="0" autoFill="0" autoLine="0" autoPict="0">
                <anchor moveWithCells="1">
                  <from>
                    <xdr:col>2</xdr:col>
                    <xdr:colOff>0</xdr:colOff>
                    <xdr:row>73</xdr:row>
                    <xdr:rowOff>0</xdr:rowOff>
                  </from>
                  <to>
                    <xdr:col>3</xdr:col>
                    <xdr:colOff>190500</xdr:colOff>
                    <xdr:row>74</xdr:row>
                    <xdr:rowOff>22860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29C79A-0772-478C-AF5A-CB1B2DB9527D}">
  <sheetPr codeName="Blad31">
    <tabColor indexed="22"/>
    <pageSetUpPr fitToPage="1"/>
  </sheetPr>
  <dimension ref="A1:O54"/>
  <sheetViews>
    <sheetView showGridLines="0" topLeftCell="B10" workbookViewId="0">
      <selection activeCell="C17" sqref="C17"/>
    </sheetView>
  </sheetViews>
  <sheetFormatPr defaultRowHeight="14.4" x14ac:dyDescent="0.3"/>
  <cols>
    <col min="1" max="1" width="18.21875" hidden="1" customWidth="1"/>
    <col min="2" max="2" width="20.21875" customWidth="1"/>
    <col min="3" max="3" width="17.21875" customWidth="1"/>
    <col min="4" max="7" width="23.77734375" style="8" customWidth="1"/>
    <col min="8" max="15" width="0" hidden="1" customWidth="1"/>
  </cols>
  <sheetData>
    <row r="1" spans="1:7" hidden="1" x14ac:dyDescent="0.3">
      <c r="A1" t="s">
        <v>27</v>
      </c>
      <c r="B1" s="6" t="s">
        <v>69</v>
      </c>
      <c r="C1" s="49" t="str">
        <f>VLOOKUP(B1,werkprocessen,2,FALSE)</f>
        <v>Test software</v>
      </c>
    </row>
    <row r="2" spans="1:7" hidden="1" x14ac:dyDescent="0.3">
      <c r="A2" t="s">
        <v>28</v>
      </c>
      <c r="B2" s="6">
        <f>VLOOKUP(B1,KerntakenEnWerkprocessen!B13:E27,3,FALSE)</f>
        <v>4</v>
      </c>
    </row>
    <row r="3" spans="1:7" hidden="1" x14ac:dyDescent="0.3">
      <c r="A3" t="s">
        <v>29</v>
      </c>
      <c r="B3" s="6">
        <f>VLOOKUP(B1,KerntakenEnWerkprocessen!B13:E27,4,FALSE)</f>
        <v>4</v>
      </c>
    </row>
    <row r="4" spans="1:7" hidden="1" x14ac:dyDescent="0.3">
      <c r="A4" t="s">
        <v>30</v>
      </c>
      <c r="B4" s="6">
        <f>SUM(N:N)</f>
        <v>9</v>
      </c>
      <c r="C4" s="48" t="s">
        <v>31</v>
      </c>
      <c r="D4" s="47" t="b">
        <f>IF(SUM(O:O)&gt;0,TRUE,FALSE)</f>
        <v>1</v>
      </c>
    </row>
    <row r="5" spans="1:7" hidden="1" x14ac:dyDescent="0.3">
      <c r="A5" t="s">
        <v>32</v>
      </c>
      <c r="B5" s="6">
        <f>SUM(M:M)</f>
        <v>0</v>
      </c>
    </row>
    <row r="6" spans="1:7" hidden="1" x14ac:dyDescent="0.3">
      <c r="A6" t="s">
        <v>33</v>
      </c>
      <c r="B6" s="6">
        <f>COUNTIF(N:N,1)</f>
        <v>0</v>
      </c>
    </row>
    <row r="7" spans="1:7" hidden="1" x14ac:dyDescent="0.3">
      <c r="A7" t="s">
        <v>34</v>
      </c>
      <c r="B7" s="6">
        <f>COUNTIF(N:N,2)+COUNTIF(N:N,3)</f>
        <v>3</v>
      </c>
    </row>
    <row r="8" spans="1:7" hidden="1" x14ac:dyDescent="0.3">
      <c r="A8" t="s">
        <v>35</v>
      </c>
      <c r="B8" s="6">
        <f>0.5*B4</f>
        <v>4.5</v>
      </c>
    </row>
    <row r="10" spans="1:7" ht="36.75" customHeight="1" x14ac:dyDescent="0.6">
      <c r="B10" s="104" t="str">
        <f>CONCATENATE(kerntaakCode,": ",kerntaakNaam)</f>
        <v>B1-K1: Realiseert software</v>
      </c>
      <c r="C10" s="104"/>
      <c r="D10" s="104"/>
      <c r="E10" s="104"/>
      <c r="F10" s="104"/>
      <c r="G10" s="104"/>
    </row>
    <row r="11" spans="1:7" ht="28.5" customHeight="1" x14ac:dyDescent="0.5">
      <c r="B11" s="105" t="str">
        <f>CONCATENATE(VLOOKUP(B1,werkprocessen,1,FALSE),": ",C1)</f>
        <v>B1-K1-W4: Test software</v>
      </c>
      <c r="C11" s="105"/>
      <c r="D11" s="105"/>
      <c r="E11" s="105"/>
      <c r="F11" s="105"/>
      <c r="G11" s="105"/>
    </row>
    <row r="13" spans="1:7" ht="24" customHeight="1" x14ac:dyDescent="0.3">
      <c r="B13" s="96" t="s">
        <v>36</v>
      </c>
      <c r="C13" s="97"/>
      <c r="D13" s="97"/>
      <c r="E13" s="97"/>
      <c r="F13" s="97"/>
      <c r="G13" s="98"/>
    </row>
    <row r="14" spans="1:7" ht="22.5" customHeight="1" x14ac:dyDescent="0.3">
      <c r="B14" s="56" t="s">
        <v>37</v>
      </c>
      <c r="C14" s="85" t="str">
        <f>IF(Voorblad!B16="","",Voorblad!B16)</f>
        <v/>
      </c>
      <c r="D14" s="9"/>
      <c r="E14" s="9"/>
      <c r="F14" s="9"/>
      <c r="G14" s="13"/>
    </row>
    <row r="15" spans="1:7" ht="22.5" customHeight="1" x14ac:dyDescent="0.3">
      <c r="B15" s="56" t="s">
        <v>38</v>
      </c>
      <c r="C15" s="86" t="str">
        <f>IF(Voorblad!B17="","",Voorblad!B17)</f>
        <v>Rohan Dayal</v>
      </c>
      <c r="D15" s="10"/>
      <c r="E15" s="10"/>
      <c r="F15" s="10"/>
      <c r="G15" s="14"/>
    </row>
    <row r="16" spans="1:7" ht="22.5" customHeight="1" x14ac:dyDescent="0.3">
      <c r="B16" s="56" t="s">
        <v>39</v>
      </c>
      <c r="C16" s="87">
        <f>IF(Voorblad!B18="","",Voorblad!B18)</f>
        <v>9019234</v>
      </c>
      <c r="D16" s="10"/>
      <c r="E16" s="10"/>
      <c r="F16" s="10"/>
      <c r="G16" s="14"/>
    </row>
    <row r="17" spans="1:15" ht="22.5" customHeight="1" x14ac:dyDescent="0.3">
      <c r="B17" s="56" t="s">
        <v>40</v>
      </c>
      <c r="C17" s="84" t="s">
        <v>213</v>
      </c>
      <c r="D17" s="10"/>
      <c r="E17" s="10"/>
      <c r="F17" s="10"/>
      <c r="G17" s="14"/>
    </row>
    <row r="18" spans="1:15" ht="22.5" customHeight="1" x14ac:dyDescent="0.3">
      <c r="B18" s="77"/>
      <c r="C18" s="84" t="s">
        <v>212</v>
      </c>
      <c r="D18" s="10"/>
      <c r="E18" s="10"/>
      <c r="F18" s="10"/>
      <c r="G18" s="14"/>
    </row>
    <row r="19" spans="1:15" ht="22.5" customHeight="1" x14ac:dyDescent="0.3">
      <c r="B19" s="77" t="s">
        <v>138</v>
      </c>
      <c r="C19" s="84" t="s">
        <v>212</v>
      </c>
      <c r="D19" s="10"/>
      <c r="E19" s="10"/>
      <c r="F19" s="10"/>
      <c r="G19" s="14"/>
    </row>
    <row r="20" spans="1:15" ht="23.25" customHeight="1" x14ac:dyDescent="0.3"/>
    <row r="21" spans="1:15" ht="24" customHeight="1" x14ac:dyDescent="0.3">
      <c r="B21" s="118" t="s">
        <v>196</v>
      </c>
      <c r="C21" s="118"/>
      <c r="D21" s="118"/>
      <c r="E21" s="118"/>
      <c r="F21" s="118"/>
      <c r="G21" s="118"/>
    </row>
    <row r="22" spans="1:15" hidden="1" x14ac:dyDescent="0.3">
      <c r="A22" t="s">
        <v>145</v>
      </c>
      <c r="B22" s="59">
        <v>4</v>
      </c>
      <c r="D22" s="8" t="s">
        <v>146</v>
      </c>
      <c r="E22" s="60" t="s">
        <v>197</v>
      </c>
      <c r="G22" s="8" t="s">
        <v>148</v>
      </c>
      <c r="H22" s="59">
        <f>COUNTIF(Beheersingsniveaus!$C$4:$C$154,$E22)</f>
        <v>3</v>
      </c>
    </row>
    <row r="23" spans="1:15" x14ac:dyDescent="0.3">
      <c r="A23" t="s">
        <v>78</v>
      </c>
      <c r="B23" s="61" t="s">
        <v>149</v>
      </c>
      <c r="C23" s="61" t="s">
        <v>80</v>
      </c>
      <c r="D23" s="61">
        <v>0</v>
      </c>
      <c r="E23" s="61">
        <v>1</v>
      </c>
      <c r="F23" s="61">
        <v>2</v>
      </c>
      <c r="G23" s="61">
        <v>3</v>
      </c>
      <c r="H23" t="s">
        <v>85</v>
      </c>
      <c r="I23" t="s">
        <v>150</v>
      </c>
      <c r="J23" t="s">
        <v>151</v>
      </c>
      <c r="K23" t="s">
        <v>152</v>
      </c>
      <c r="L23" t="s">
        <v>153</v>
      </c>
      <c r="M23" t="s">
        <v>32</v>
      </c>
      <c r="N23" t="s">
        <v>30</v>
      </c>
      <c r="O23" t="s">
        <v>154</v>
      </c>
    </row>
    <row r="24" spans="1:15" ht="115.05" customHeight="1" x14ac:dyDescent="0.3">
      <c r="A24" s="63" t="s">
        <v>198</v>
      </c>
      <c r="B24" s="64" t="str">
        <f>VLOOKUP($A24,Beheersingsniveaus!$D$4:$K$154,2,FALSE)</f>
        <v>T6</v>
      </c>
      <c r="C24" s="64" t="str">
        <f>CONCATENATE(VLOOKUP($A24,Beheersingsniveaus!$D$4:$K$154,3,FALSE),IF($H24=ja,"*",""))</f>
        <v>Testplan</v>
      </c>
      <c r="D24" s="65" t="str">
        <f>VLOOKUP($A24,Beheersingsniveaus!$D$4:$K$154,4,FALSE)</f>
        <v>De testcases in het testplan sluiten aan op de user stories en bevatten alle scenario's.
Niet of nauwelijks</v>
      </c>
      <c r="E24" s="65" t="str">
        <f>VLOOKUP($A24,Beheersingsniveaus!$D$4:$K$154,5,FALSE)</f>
        <v>Enigszins</v>
      </c>
      <c r="F24" s="65" t="str">
        <f>VLOOKUP($A24,Beheersingsniveaus!$D$4:$K$154,6,FALSE)</f>
        <v>Grotendeels</v>
      </c>
      <c r="G24" s="65" t="str">
        <f>VLOOKUP($A24,Beheersingsniveaus!$D$4:$K$154,7,FALSE)</f>
        <v>Volledig</v>
      </c>
      <c r="H24" s="59">
        <f>VLOOKUP($A24,Beheersingsniveaus!$D$4:$K$154,8,FALSE)</f>
        <v>0</v>
      </c>
      <c r="I24" s="59" t="b">
        <v>1</v>
      </c>
      <c r="J24" s="59" t="b">
        <v>0</v>
      </c>
      <c r="K24" s="59" t="b">
        <v>0</v>
      </c>
      <c r="L24" s="59" t="b">
        <v>0</v>
      </c>
      <c r="M24" s="59">
        <f>IF(L24=TRUE,3,IF(K24=TRUE,2,IF(J24=TRUE,1,IF(I24=TRUE,0,0))))</f>
        <v>0</v>
      </c>
      <c r="N24" s="59">
        <f>(4-COUNTBLANK(D24:G24))-1</f>
        <v>3</v>
      </c>
      <c r="O24" s="59">
        <f>COUNTA(I24:L24)</f>
        <v>4</v>
      </c>
    </row>
    <row r="25" spans="1:15" ht="160.05000000000001" customHeight="1" x14ac:dyDescent="0.3">
      <c r="A25" s="63" t="s">
        <v>199</v>
      </c>
      <c r="B25" s="64" t="str">
        <f>VLOOKUP($A25,Beheersingsniveaus!$D$4:$K$154,2,FALSE)</f>
        <v>T6</v>
      </c>
      <c r="C25" s="64" t="str">
        <f>CONCATENATE(VLOOKUP($A25,Beheersingsniveaus!$D$4:$K$154,3,FALSE),IF($H25=ja,"*",""))</f>
        <v xml:space="preserve">Testscenario </v>
      </c>
      <c r="D25" s="65" t="str">
        <f>VLOOKUP($A25,Beheersingsniveaus!$D$4:$K$154,4,FALSE)</f>
        <v>De stappen, het gewenste resultaat en testdata zijn benoemd. Niet alleen het hoofdscenario, maar ook alternatieve scenario’s. 
Niet of nauwelijks</v>
      </c>
      <c r="E25" s="65" t="str">
        <f>VLOOKUP($A25,Beheersingsniveaus!$D$4:$K$154,5,FALSE)</f>
        <v>Enigszins</v>
      </c>
      <c r="F25" s="65" t="str">
        <f>VLOOKUP($A25,Beheersingsniveaus!$D$4:$K$154,6,FALSE)</f>
        <v>Grotendeels</v>
      </c>
      <c r="G25" s="65" t="str">
        <f>VLOOKUP($A25,Beheersingsniveaus!$D$4:$K$154,7,FALSE)</f>
        <v>Volledig</v>
      </c>
      <c r="H25" s="59">
        <f>VLOOKUP($A25,Beheersingsniveaus!$D$4:$K$154,8,FALSE)</f>
        <v>0</v>
      </c>
      <c r="I25" s="59" t="b">
        <v>1</v>
      </c>
      <c r="J25" s="59" t="b">
        <v>0</v>
      </c>
      <c r="K25" s="59" t="b">
        <v>0</v>
      </c>
      <c r="L25" s="59" t="b">
        <v>0</v>
      </c>
      <c r="M25" s="59">
        <f>IF(L25=TRUE,3,IF(K25=TRUE,2,IF(J25=TRUE,1,IF(I25=TRUE,0,0))))</f>
        <v>0</v>
      </c>
      <c r="N25" s="59">
        <f>(4-COUNTBLANK(D25:G25))-1</f>
        <v>3</v>
      </c>
      <c r="O25" s="59">
        <f>COUNTA(I25:L25)</f>
        <v>4</v>
      </c>
    </row>
    <row r="26" spans="1:15" ht="100.05" customHeight="1" x14ac:dyDescent="0.3">
      <c r="A26" s="63" t="s">
        <v>200</v>
      </c>
      <c r="B26" s="64" t="str">
        <f>VLOOKUP($A26,Beheersingsniveaus!$D$4:$K$154,2,FALSE)</f>
        <v>T6</v>
      </c>
      <c r="C26" s="64" t="str">
        <f>CONCATENATE(VLOOKUP($A26,Beheersingsniveaus!$D$4:$K$154,3,FALSE),IF($H26=ja,"*",""))</f>
        <v>Testrapport</v>
      </c>
      <c r="D26" s="65" t="str">
        <f>VLOOKUP($A26,Beheersingsniveaus!$D$4:$K$154,4,FALSE)</f>
        <v>Het testrapport bevat
de juiste resultaten 
en conclusies.
Niet of nauwelijks</v>
      </c>
      <c r="E26" s="65" t="str">
        <f>VLOOKUP($A26,Beheersingsniveaus!$D$4:$K$154,5,FALSE)</f>
        <v>Enigszins</v>
      </c>
      <c r="F26" s="65" t="str">
        <f>VLOOKUP($A26,Beheersingsniveaus!$D$4:$K$154,6,FALSE)</f>
        <v>Grotendeels</v>
      </c>
      <c r="G26" s="65" t="str">
        <f>VLOOKUP($A26,Beheersingsniveaus!$D$4:$K$154,7,FALSE)</f>
        <v>Volledig</v>
      </c>
      <c r="H26" s="59">
        <f>VLOOKUP($A26,Beheersingsniveaus!$D$4:$K$154,8,FALSE)</f>
        <v>0</v>
      </c>
      <c r="I26" s="59" t="b">
        <v>1</v>
      </c>
      <c r="J26" s="59" t="b">
        <v>0</v>
      </c>
      <c r="K26" s="59" t="b">
        <v>0</v>
      </c>
      <c r="L26" s="59" t="b">
        <v>0</v>
      </c>
      <c r="M26" s="59">
        <f>IF(L26=TRUE,3,IF(K26=TRUE,2,IF(J26=TRUE,1,IF(I26=TRUE,0,0))))</f>
        <v>0</v>
      </c>
      <c r="N26" s="59">
        <f>(4-COUNTBLANK(D26:G26))-1</f>
        <v>3</v>
      </c>
      <c r="O26" s="59">
        <f>COUNTA(I26:L26)</f>
        <v>4</v>
      </c>
    </row>
    <row r="28" spans="1:15" ht="28.5" customHeight="1" x14ac:dyDescent="0.5">
      <c r="B28" s="119" t="s">
        <v>201</v>
      </c>
      <c r="C28" s="120"/>
      <c r="D28" s="120"/>
      <c r="E28" s="120"/>
      <c r="F28" s="120"/>
      <c r="G28" s="120"/>
    </row>
    <row r="29" spans="1:15" ht="26.1" customHeight="1" x14ac:dyDescent="0.3">
      <c r="B29" s="66" t="s">
        <v>160</v>
      </c>
    </row>
    <row r="30" spans="1:15" x14ac:dyDescent="0.3">
      <c r="B30" s="68" t="s">
        <v>161</v>
      </c>
      <c r="C30" s="68" t="s">
        <v>162</v>
      </c>
      <c r="D30" s="93" t="s">
        <v>163</v>
      </c>
    </row>
    <row r="31" spans="1:15" x14ac:dyDescent="0.3">
      <c r="B31" s="69">
        <v>0</v>
      </c>
      <c r="C31" s="70">
        <f t="shared" ref="C31:C40" si="0">ROUNDUP(IF(B31&lt;$B$8,4.5/$B$8*B31+1,4.5/($B$4-$B$8)*(B31-$B$8)+5.5),1)</f>
        <v>1</v>
      </c>
      <c r="D31" s="62"/>
    </row>
    <row r="32" spans="1:15" x14ac:dyDescent="0.3">
      <c r="B32" s="69">
        <v>1</v>
      </c>
      <c r="C32" s="70">
        <f t="shared" si="0"/>
        <v>2</v>
      </c>
      <c r="D32" s="62" t="str">
        <f t="shared" ref="D32:D40" si="1">IF($B32=$B$5,"X","")</f>
        <v/>
      </c>
    </row>
    <row r="33" spans="2:7" x14ac:dyDescent="0.3">
      <c r="B33" s="69">
        <v>2</v>
      </c>
      <c r="C33" s="70">
        <f t="shared" si="0"/>
        <v>3</v>
      </c>
      <c r="D33" s="62" t="str">
        <f t="shared" si="1"/>
        <v/>
      </c>
    </row>
    <row r="34" spans="2:7" x14ac:dyDescent="0.3">
      <c r="B34" s="69">
        <v>3</v>
      </c>
      <c r="C34" s="70">
        <f t="shared" si="0"/>
        <v>4</v>
      </c>
      <c r="D34" s="62" t="str">
        <f t="shared" si="1"/>
        <v/>
      </c>
    </row>
    <row r="35" spans="2:7" x14ac:dyDescent="0.3">
      <c r="B35" s="69">
        <v>4</v>
      </c>
      <c r="C35" s="70">
        <f t="shared" si="0"/>
        <v>5</v>
      </c>
      <c r="D35" s="62" t="str">
        <f t="shared" si="1"/>
        <v/>
      </c>
    </row>
    <row r="36" spans="2:7" x14ac:dyDescent="0.3">
      <c r="B36" s="69">
        <v>5</v>
      </c>
      <c r="C36" s="70">
        <f t="shared" si="0"/>
        <v>6</v>
      </c>
      <c r="D36" s="62" t="str">
        <f t="shared" si="1"/>
        <v/>
      </c>
    </row>
    <row r="37" spans="2:7" x14ac:dyDescent="0.3">
      <c r="B37" s="69">
        <v>6</v>
      </c>
      <c r="C37" s="70">
        <f t="shared" si="0"/>
        <v>7</v>
      </c>
      <c r="D37" s="62" t="str">
        <f t="shared" si="1"/>
        <v/>
      </c>
    </row>
    <row r="38" spans="2:7" x14ac:dyDescent="0.3">
      <c r="B38" s="69">
        <v>7</v>
      </c>
      <c r="C38" s="70">
        <f t="shared" si="0"/>
        <v>8</v>
      </c>
      <c r="D38" s="62" t="str">
        <f t="shared" si="1"/>
        <v/>
      </c>
    </row>
    <row r="39" spans="2:7" x14ac:dyDescent="0.3">
      <c r="B39" s="69">
        <v>8</v>
      </c>
      <c r="C39" s="70">
        <f t="shared" si="0"/>
        <v>9</v>
      </c>
      <c r="D39" s="62" t="str">
        <f t="shared" si="1"/>
        <v/>
      </c>
    </row>
    <row r="40" spans="2:7" x14ac:dyDescent="0.3">
      <c r="B40" s="69">
        <v>9</v>
      </c>
      <c r="C40" s="70">
        <f t="shared" si="0"/>
        <v>10</v>
      </c>
      <c r="D40" s="62" t="str">
        <f t="shared" si="1"/>
        <v/>
      </c>
    </row>
    <row r="41" spans="2:7" hidden="1" x14ac:dyDescent="0.3">
      <c r="B41" s="69" t="str">
        <f>IF(D31="X","",IF(D32="X",C32,IF(D33="X",C33,IF(D34="X",C34,IF(D35="X",C35,IF(D36="X",C36,IF(D37="X",C37,IF(D38="X",C38,IF(D39="X",C39,IF(D40="X",C40,""))))))))))</f>
        <v/>
      </c>
      <c r="C41" s="70"/>
      <c r="D41" s="62"/>
    </row>
    <row r="43" spans="2:7" ht="26.1" customHeight="1" x14ac:dyDescent="0.3">
      <c r="B43" s="66" t="s">
        <v>164</v>
      </c>
    </row>
    <row r="44" spans="2:7" x14ac:dyDescent="0.3">
      <c r="B44" t="s">
        <v>165</v>
      </c>
    </row>
    <row r="45" spans="2:7" ht="35.1" customHeight="1" x14ac:dyDescent="0.3">
      <c r="B45" s="121" t="s">
        <v>7</v>
      </c>
      <c r="C45" s="121"/>
      <c r="D45" s="121"/>
      <c r="E45" s="121"/>
      <c r="F45" s="121"/>
      <c r="G45" s="121"/>
    </row>
    <row r="46" spans="2:7" ht="300" customHeight="1" x14ac:dyDescent="0.3">
      <c r="B46" s="117"/>
      <c r="C46" s="117"/>
      <c r="D46" s="117"/>
      <c r="E46" s="117"/>
      <c r="F46" s="117"/>
      <c r="G46" s="117"/>
    </row>
    <row r="48" spans="2:7" ht="26.1" customHeight="1" x14ac:dyDescent="0.3">
      <c r="B48" s="66" t="s">
        <v>134</v>
      </c>
    </row>
    <row r="49" spans="2:7" x14ac:dyDescent="0.3">
      <c r="B49" s="71" t="s">
        <v>166</v>
      </c>
    </row>
    <row r="50" spans="2:7" x14ac:dyDescent="0.3">
      <c r="B50" t="s">
        <v>167</v>
      </c>
    </row>
    <row r="53" spans="2:7" x14ac:dyDescent="0.3">
      <c r="B53" t="s">
        <v>168</v>
      </c>
    </row>
    <row r="54" spans="2:7" ht="50.1" customHeight="1" x14ac:dyDescent="0.3">
      <c r="B54" s="117"/>
      <c r="C54" s="117"/>
      <c r="D54" s="117"/>
      <c r="E54" s="117"/>
      <c r="F54" s="117"/>
      <c r="G54" s="117"/>
    </row>
  </sheetData>
  <mergeCells count="8">
    <mergeCell ref="B46:G46"/>
    <mergeCell ref="B54:G54"/>
    <mergeCell ref="B10:G10"/>
    <mergeCell ref="B11:G11"/>
    <mergeCell ref="B13:G13"/>
    <mergeCell ref="B21:G21"/>
    <mergeCell ref="B28:G28"/>
    <mergeCell ref="B45:G45"/>
  </mergeCells>
  <conditionalFormatting sqref="B24:G24">
    <cfRule type="expression" dxfId="10" priority="1" stopIfTrue="1">
      <formula>COUNTIF($I24:$L24,TRUE)&gt;1</formula>
    </cfRule>
  </conditionalFormatting>
  <conditionalFormatting sqref="B25:G25">
    <cfRule type="expression" dxfId="9" priority="2" stopIfTrue="1">
      <formula>COUNTIF($I25:$L25,TRUE)&gt;1</formula>
    </cfRule>
  </conditionalFormatting>
  <conditionalFormatting sqref="B26:G26">
    <cfRule type="expression" dxfId="8" priority="3" stopIfTrue="1">
      <formula>COUNTIF($I26:$L26,TRUE)&gt;1</formula>
    </cfRule>
  </conditionalFormatting>
  <conditionalFormatting sqref="B31:C41">
    <cfRule type="expression" dxfId="7" priority="4" stopIfTrue="1">
      <formula>$D$4=FALSE</formula>
    </cfRule>
  </conditionalFormatting>
  <conditionalFormatting sqref="D30:D41">
    <cfRule type="expression" dxfId="6" priority="5" stopIfTrue="1">
      <formula>$D$4=FALSE</formula>
    </cfRule>
  </conditionalFormatting>
  <pageMargins left="0.70866141732283472" right="0.70866141732283472" top="0.74803149606299213" bottom="0.74803149606299213" header="0.31496062992125984" footer="0.31496062992125984"/>
  <pageSetup paperSize="9" scale="65" fitToHeight="0" orientation="portrait" r:id="rId1"/>
  <headerFooter>
    <oddFooter>&amp;L© Stichting Praktijkleren&amp;C[Examencode]&amp;R&amp;P/&amp;N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7346" r:id="rId4" name="Check Box 2">
              <controlPr defaultSize="0" autoFill="0" autoLine="0" autoPict="0" macro="[0]!'OnClickCheckbox 24'">
                <anchor moveWithCells="1">
                  <from>
                    <xdr:col>3</xdr:col>
                    <xdr:colOff>0</xdr:colOff>
                    <xdr:row>23</xdr:row>
                    <xdr:rowOff>0</xdr:rowOff>
                  </from>
                  <to>
                    <xdr:col>4</xdr:col>
                    <xdr:colOff>0</xdr:colOff>
                    <xdr:row>23</xdr:row>
                    <xdr:rowOff>213360</xdr:rowOff>
                  </to>
                </anchor>
              </controlPr>
            </control>
          </mc:Choice>
        </mc:AlternateContent>
        <mc:AlternateContent xmlns:mc="http://schemas.openxmlformats.org/markup-compatibility/2006">
          <mc:Choice Requires="x14">
            <control shapeId="57347" r:id="rId5" name="Check Box 3">
              <controlPr defaultSize="0" autoFill="0" autoLine="0" autoPict="0" macro="[0]!'OnClickCheckbox 24'">
                <anchor moveWithCells="1">
                  <from>
                    <xdr:col>4</xdr:col>
                    <xdr:colOff>0</xdr:colOff>
                    <xdr:row>23</xdr:row>
                    <xdr:rowOff>0</xdr:rowOff>
                  </from>
                  <to>
                    <xdr:col>5</xdr:col>
                    <xdr:colOff>0</xdr:colOff>
                    <xdr:row>23</xdr:row>
                    <xdr:rowOff>213360</xdr:rowOff>
                  </to>
                </anchor>
              </controlPr>
            </control>
          </mc:Choice>
        </mc:AlternateContent>
        <mc:AlternateContent xmlns:mc="http://schemas.openxmlformats.org/markup-compatibility/2006">
          <mc:Choice Requires="x14">
            <control shapeId="57348" r:id="rId6" name="Check Box 4">
              <controlPr defaultSize="0" autoFill="0" autoLine="0" autoPict="0" macro="[0]!'OnClickCheckbox 24'">
                <anchor moveWithCells="1">
                  <from>
                    <xdr:col>5</xdr:col>
                    <xdr:colOff>0</xdr:colOff>
                    <xdr:row>23</xdr:row>
                    <xdr:rowOff>0</xdr:rowOff>
                  </from>
                  <to>
                    <xdr:col>6</xdr:col>
                    <xdr:colOff>0</xdr:colOff>
                    <xdr:row>23</xdr:row>
                    <xdr:rowOff>213360</xdr:rowOff>
                  </to>
                </anchor>
              </controlPr>
            </control>
          </mc:Choice>
        </mc:AlternateContent>
        <mc:AlternateContent xmlns:mc="http://schemas.openxmlformats.org/markup-compatibility/2006">
          <mc:Choice Requires="x14">
            <control shapeId="57349" r:id="rId7" name="Check Box 5">
              <controlPr defaultSize="0" autoFill="0" autoLine="0" autoPict="0" macro="[0]!'OnClickCheckbox 24'">
                <anchor moveWithCells="1">
                  <from>
                    <xdr:col>6</xdr:col>
                    <xdr:colOff>0</xdr:colOff>
                    <xdr:row>23</xdr:row>
                    <xdr:rowOff>0</xdr:rowOff>
                  </from>
                  <to>
                    <xdr:col>7</xdr:col>
                    <xdr:colOff>0</xdr:colOff>
                    <xdr:row>23</xdr:row>
                    <xdr:rowOff>213360</xdr:rowOff>
                  </to>
                </anchor>
              </controlPr>
            </control>
          </mc:Choice>
        </mc:AlternateContent>
        <mc:AlternateContent xmlns:mc="http://schemas.openxmlformats.org/markup-compatibility/2006">
          <mc:Choice Requires="x14">
            <control shapeId="57350" r:id="rId8" name="Check Box 6">
              <controlPr defaultSize="0" autoFill="0" autoLine="0" autoPict="0" macro="[0]!'OnClickCheckbox 25'">
                <anchor moveWithCells="1">
                  <from>
                    <xdr:col>3</xdr:col>
                    <xdr:colOff>0</xdr:colOff>
                    <xdr:row>24</xdr:row>
                    <xdr:rowOff>0</xdr:rowOff>
                  </from>
                  <to>
                    <xdr:col>4</xdr:col>
                    <xdr:colOff>0</xdr:colOff>
                    <xdr:row>24</xdr:row>
                    <xdr:rowOff>213360</xdr:rowOff>
                  </to>
                </anchor>
              </controlPr>
            </control>
          </mc:Choice>
        </mc:AlternateContent>
        <mc:AlternateContent xmlns:mc="http://schemas.openxmlformats.org/markup-compatibility/2006">
          <mc:Choice Requires="x14">
            <control shapeId="57351" r:id="rId9" name="Check Box 7">
              <controlPr defaultSize="0" autoFill="0" autoLine="0" autoPict="0" macro="[0]!'OnClickCheckbox 25'">
                <anchor moveWithCells="1">
                  <from>
                    <xdr:col>4</xdr:col>
                    <xdr:colOff>0</xdr:colOff>
                    <xdr:row>24</xdr:row>
                    <xdr:rowOff>0</xdr:rowOff>
                  </from>
                  <to>
                    <xdr:col>5</xdr:col>
                    <xdr:colOff>0</xdr:colOff>
                    <xdr:row>24</xdr:row>
                    <xdr:rowOff>213360</xdr:rowOff>
                  </to>
                </anchor>
              </controlPr>
            </control>
          </mc:Choice>
        </mc:AlternateContent>
        <mc:AlternateContent xmlns:mc="http://schemas.openxmlformats.org/markup-compatibility/2006">
          <mc:Choice Requires="x14">
            <control shapeId="57352" r:id="rId10" name="Check Box 8">
              <controlPr defaultSize="0" autoFill="0" autoLine="0" autoPict="0" macro="[0]!'OnClickCheckbox 25'">
                <anchor moveWithCells="1">
                  <from>
                    <xdr:col>5</xdr:col>
                    <xdr:colOff>0</xdr:colOff>
                    <xdr:row>24</xdr:row>
                    <xdr:rowOff>0</xdr:rowOff>
                  </from>
                  <to>
                    <xdr:col>6</xdr:col>
                    <xdr:colOff>0</xdr:colOff>
                    <xdr:row>24</xdr:row>
                    <xdr:rowOff>213360</xdr:rowOff>
                  </to>
                </anchor>
              </controlPr>
            </control>
          </mc:Choice>
        </mc:AlternateContent>
        <mc:AlternateContent xmlns:mc="http://schemas.openxmlformats.org/markup-compatibility/2006">
          <mc:Choice Requires="x14">
            <control shapeId="57353" r:id="rId11" name="Check Box 9">
              <controlPr defaultSize="0" autoFill="0" autoLine="0" autoPict="0" macro="[0]!'OnClickCheckbox 25'">
                <anchor moveWithCells="1">
                  <from>
                    <xdr:col>6</xdr:col>
                    <xdr:colOff>0</xdr:colOff>
                    <xdr:row>24</xdr:row>
                    <xdr:rowOff>0</xdr:rowOff>
                  </from>
                  <to>
                    <xdr:col>7</xdr:col>
                    <xdr:colOff>0</xdr:colOff>
                    <xdr:row>24</xdr:row>
                    <xdr:rowOff>213360</xdr:rowOff>
                  </to>
                </anchor>
              </controlPr>
            </control>
          </mc:Choice>
        </mc:AlternateContent>
        <mc:AlternateContent xmlns:mc="http://schemas.openxmlformats.org/markup-compatibility/2006">
          <mc:Choice Requires="x14">
            <control shapeId="57354" r:id="rId12" name="Check Box 10">
              <controlPr defaultSize="0" autoFill="0" autoLine="0" autoPict="0" macro="[0]!'OnClickCheckbox 26'">
                <anchor moveWithCells="1">
                  <from>
                    <xdr:col>3</xdr:col>
                    <xdr:colOff>0</xdr:colOff>
                    <xdr:row>25</xdr:row>
                    <xdr:rowOff>0</xdr:rowOff>
                  </from>
                  <to>
                    <xdr:col>4</xdr:col>
                    <xdr:colOff>0</xdr:colOff>
                    <xdr:row>25</xdr:row>
                    <xdr:rowOff>213360</xdr:rowOff>
                  </to>
                </anchor>
              </controlPr>
            </control>
          </mc:Choice>
        </mc:AlternateContent>
        <mc:AlternateContent xmlns:mc="http://schemas.openxmlformats.org/markup-compatibility/2006">
          <mc:Choice Requires="x14">
            <control shapeId="57355" r:id="rId13" name="Check Box 11">
              <controlPr defaultSize="0" autoFill="0" autoLine="0" autoPict="0" macro="[0]!'OnClickCheckbox 26'">
                <anchor moveWithCells="1">
                  <from>
                    <xdr:col>4</xdr:col>
                    <xdr:colOff>0</xdr:colOff>
                    <xdr:row>25</xdr:row>
                    <xdr:rowOff>0</xdr:rowOff>
                  </from>
                  <to>
                    <xdr:col>5</xdr:col>
                    <xdr:colOff>0</xdr:colOff>
                    <xdr:row>25</xdr:row>
                    <xdr:rowOff>213360</xdr:rowOff>
                  </to>
                </anchor>
              </controlPr>
            </control>
          </mc:Choice>
        </mc:AlternateContent>
        <mc:AlternateContent xmlns:mc="http://schemas.openxmlformats.org/markup-compatibility/2006">
          <mc:Choice Requires="x14">
            <control shapeId="57356" r:id="rId14" name="Check Box 12">
              <controlPr defaultSize="0" autoFill="0" autoLine="0" autoPict="0" macro="[0]!'OnClickCheckbox 26'">
                <anchor moveWithCells="1">
                  <from>
                    <xdr:col>5</xdr:col>
                    <xdr:colOff>0</xdr:colOff>
                    <xdr:row>25</xdr:row>
                    <xdr:rowOff>0</xdr:rowOff>
                  </from>
                  <to>
                    <xdr:col>6</xdr:col>
                    <xdr:colOff>0</xdr:colOff>
                    <xdr:row>25</xdr:row>
                    <xdr:rowOff>213360</xdr:rowOff>
                  </to>
                </anchor>
              </controlPr>
            </control>
          </mc:Choice>
        </mc:AlternateContent>
        <mc:AlternateContent xmlns:mc="http://schemas.openxmlformats.org/markup-compatibility/2006">
          <mc:Choice Requires="x14">
            <control shapeId="57357" r:id="rId15" name="Check Box 13">
              <controlPr defaultSize="0" autoFill="0" autoLine="0" autoPict="0" macro="[0]!'OnClickCheckbox 26'">
                <anchor moveWithCells="1">
                  <from>
                    <xdr:col>6</xdr:col>
                    <xdr:colOff>0</xdr:colOff>
                    <xdr:row>25</xdr:row>
                    <xdr:rowOff>0</xdr:rowOff>
                  </from>
                  <to>
                    <xdr:col>7</xdr:col>
                    <xdr:colOff>0</xdr:colOff>
                    <xdr:row>25</xdr:row>
                    <xdr:rowOff>213360</xdr:rowOff>
                  </to>
                </anchor>
              </controlPr>
            </control>
          </mc:Choice>
        </mc:AlternateContent>
        <mc:AlternateContent xmlns:mc="http://schemas.openxmlformats.org/markup-compatibility/2006">
          <mc:Choice Requires="x14">
            <control shapeId="57358" r:id="rId16" name="Check Box 14">
              <controlPr defaultSize="0" autoFill="0" autoLine="0" autoPict="0">
                <anchor moveWithCells="1">
                  <from>
                    <xdr:col>1</xdr:col>
                    <xdr:colOff>0</xdr:colOff>
                    <xdr:row>50</xdr:row>
                    <xdr:rowOff>0</xdr:rowOff>
                  </from>
                  <to>
                    <xdr:col>2</xdr:col>
                    <xdr:colOff>0</xdr:colOff>
                    <xdr:row>51</xdr:row>
                    <xdr:rowOff>22860</xdr:rowOff>
                  </to>
                </anchor>
              </controlPr>
            </control>
          </mc:Choice>
        </mc:AlternateContent>
        <mc:AlternateContent xmlns:mc="http://schemas.openxmlformats.org/markup-compatibility/2006">
          <mc:Choice Requires="x14">
            <control shapeId="57359" r:id="rId17" name="Check Box 15">
              <controlPr defaultSize="0" autoFill="0" autoLine="0" autoPict="0">
                <anchor moveWithCells="1">
                  <from>
                    <xdr:col>2</xdr:col>
                    <xdr:colOff>0</xdr:colOff>
                    <xdr:row>50</xdr:row>
                    <xdr:rowOff>0</xdr:rowOff>
                  </from>
                  <to>
                    <xdr:col>3</xdr:col>
                    <xdr:colOff>190500</xdr:colOff>
                    <xdr:row>51</xdr:row>
                    <xdr:rowOff>22860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AE15CC-4D36-460F-BDCC-ABDAED38156D}">
  <sheetPr codeName="Blad32">
    <tabColor indexed="22"/>
    <pageSetUpPr fitToPage="1"/>
  </sheetPr>
  <dimension ref="A1:O65"/>
  <sheetViews>
    <sheetView showGridLines="0" tabSelected="1" topLeftCell="B9" workbookViewId="0">
      <selection activeCell="R18" sqref="R18"/>
    </sheetView>
  </sheetViews>
  <sheetFormatPr defaultRowHeight="14.4" x14ac:dyDescent="0.3"/>
  <cols>
    <col min="1" max="1" width="18.21875" hidden="1" customWidth="1"/>
    <col min="2" max="2" width="20.21875" customWidth="1"/>
    <col min="3" max="3" width="17.21875" customWidth="1"/>
    <col min="4" max="7" width="23.77734375" style="8" customWidth="1"/>
    <col min="8" max="15" width="0" hidden="1" customWidth="1"/>
  </cols>
  <sheetData>
    <row r="1" spans="1:7" hidden="1" x14ac:dyDescent="0.3">
      <c r="A1" t="s">
        <v>27</v>
      </c>
      <c r="B1" s="6" t="s">
        <v>71</v>
      </c>
      <c r="C1" s="49" t="str">
        <f>VLOOKUP(B1,werkprocessen,2,FALSE)</f>
        <v>Doet verbetervoorstellen voor de software</v>
      </c>
    </row>
    <row r="2" spans="1:7" hidden="1" x14ac:dyDescent="0.3">
      <c r="A2" t="s">
        <v>28</v>
      </c>
      <c r="B2" s="6">
        <f>VLOOKUP(B1,KerntakenEnWerkprocessen!B13:E27,3,FALSE)</f>
        <v>5</v>
      </c>
    </row>
    <row r="3" spans="1:7" hidden="1" x14ac:dyDescent="0.3">
      <c r="A3" t="s">
        <v>29</v>
      </c>
      <c r="B3" s="6">
        <f>VLOOKUP(B1,KerntakenEnWerkprocessen!B13:E27,4,FALSE)</f>
        <v>6</v>
      </c>
    </row>
    <row r="4" spans="1:7" hidden="1" x14ac:dyDescent="0.3">
      <c r="A4" t="s">
        <v>30</v>
      </c>
      <c r="B4" s="6">
        <f>SUM(N:N)</f>
        <v>10</v>
      </c>
      <c r="C4" s="48" t="s">
        <v>31</v>
      </c>
      <c r="D4" s="47" t="b">
        <f>IF(SUM(O:O)&gt;0,TRUE,FALSE)</f>
        <v>1</v>
      </c>
    </row>
    <row r="5" spans="1:7" hidden="1" x14ac:dyDescent="0.3">
      <c r="A5" t="s">
        <v>32</v>
      </c>
      <c r="B5" s="6">
        <f>SUM(M:M)</f>
        <v>5</v>
      </c>
    </row>
    <row r="6" spans="1:7" hidden="1" x14ac:dyDescent="0.3">
      <c r="A6" t="s">
        <v>33</v>
      </c>
      <c r="B6" s="6">
        <f>COUNTIF(N:N,1)</f>
        <v>1</v>
      </c>
    </row>
    <row r="7" spans="1:7" hidden="1" x14ac:dyDescent="0.3">
      <c r="A7" t="s">
        <v>34</v>
      </c>
      <c r="B7" s="6">
        <f>COUNTIF(N:N,2)+COUNTIF(N:N,3)</f>
        <v>3</v>
      </c>
    </row>
    <row r="8" spans="1:7" hidden="1" x14ac:dyDescent="0.3">
      <c r="A8" t="s">
        <v>35</v>
      </c>
      <c r="B8" s="6">
        <f>0.5*B4</f>
        <v>5</v>
      </c>
    </row>
    <row r="10" spans="1:7" ht="36.75" customHeight="1" x14ac:dyDescent="0.6">
      <c r="B10" s="104" t="str">
        <f>CONCATENATE(kerntaakCode,": ",kerntaakNaam)</f>
        <v>B1-K1: Realiseert software</v>
      </c>
      <c r="C10" s="104"/>
      <c r="D10" s="104"/>
      <c r="E10" s="104"/>
      <c r="F10" s="104"/>
      <c r="G10" s="104"/>
    </row>
    <row r="11" spans="1:7" ht="28.5" customHeight="1" x14ac:dyDescent="0.5">
      <c r="B11" s="105" t="str">
        <f>CONCATENATE(VLOOKUP(B1,werkprocessen,1,FALSE),": ",C1)</f>
        <v>B1-K1-W5: Doet verbetervoorstellen voor de software</v>
      </c>
      <c r="C11" s="105"/>
      <c r="D11" s="105"/>
      <c r="E11" s="105"/>
      <c r="F11" s="105"/>
      <c r="G11" s="105"/>
    </row>
    <row r="13" spans="1:7" ht="24" customHeight="1" x14ac:dyDescent="0.3">
      <c r="B13" s="96" t="s">
        <v>36</v>
      </c>
      <c r="C13" s="97"/>
      <c r="D13" s="97"/>
      <c r="E13" s="97"/>
      <c r="F13" s="97"/>
      <c r="G13" s="98"/>
    </row>
    <row r="14" spans="1:7" ht="22.5" customHeight="1" x14ac:dyDescent="0.3">
      <c r="B14" s="56" t="s">
        <v>37</v>
      </c>
      <c r="C14" s="85" t="str">
        <f>IF(Voorblad!B16="","",Voorblad!B16)</f>
        <v/>
      </c>
      <c r="D14" s="9"/>
      <c r="E14" s="9"/>
      <c r="F14" s="9"/>
      <c r="G14" s="13"/>
    </row>
    <row r="15" spans="1:7" ht="22.5" customHeight="1" x14ac:dyDescent="0.3">
      <c r="B15" s="56" t="s">
        <v>38</v>
      </c>
      <c r="C15" s="86" t="str">
        <f>IF(Voorblad!B17="","",Voorblad!B17)</f>
        <v>Rohan Dayal</v>
      </c>
      <c r="D15" s="10"/>
      <c r="E15" s="10"/>
      <c r="F15" s="10"/>
      <c r="G15" s="14"/>
    </row>
    <row r="16" spans="1:7" ht="22.5" customHeight="1" x14ac:dyDescent="0.3">
      <c r="B16" s="56" t="s">
        <v>39</v>
      </c>
      <c r="C16" s="87">
        <f>IF(Voorblad!B18="","",Voorblad!B18)</f>
        <v>9019234</v>
      </c>
      <c r="D16" s="10"/>
      <c r="E16" s="10"/>
      <c r="F16" s="10"/>
      <c r="G16" s="14"/>
    </row>
    <row r="17" spans="1:15" ht="22.5" customHeight="1" x14ac:dyDescent="0.3">
      <c r="B17" s="56" t="s">
        <v>40</v>
      </c>
      <c r="C17" s="84" t="s">
        <v>213</v>
      </c>
      <c r="D17" s="10"/>
      <c r="E17" s="10"/>
      <c r="F17" s="10"/>
      <c r="G17" s="14"/>
    </row>
    <row r="18" spans="1:15" ht="22.5" customHeight="1" x14ac:dyDescent="0.3">
      <c r="B18" s="77" t="s">
        <v>137</v>
      </c>
      <c r="C18" s="84" t="s">
        <v>212</v>
      </c>
      <c r="D18" s="10"/>
      <c r="E18" s="10"/>
      <c r="F18" s="10"/>
      <c r="G18" s="14"/>
    </row>
    <row r="19" spans="1:15" ht="22.5" customHeight="1" x14ac:dyDescent="0.3">
      <c r="B19" s="77" t="s">
        <v>138</v>
      </c>
      <c r="C19" s="84" t="s">
        <v>212</v>
      </c>
      <c r="D19" s="10"/>
      <c r="E19" s="10"/>
      <c r="F19" s="10"/>
      <c r="G19" s="14"/>
    </row>
    <row r="20" spans="1:15" ht="23.25" customHeight="1" x14ac:dyDescent="0.3"/>
    <row r="21" spans="1:15" ht="24" customHeight="1" x14ac:dyDescent="0.3">
      <c r="B21" s="118" t="s">
        <v>202</v>
      </c>
      <c r="C21" s="118"/>
      <c r="D21" s="118"/>
      <c r="E21" s="118"/>
      <c r="F21" s="118"/>
      <c r="G21" s="118"/>
    </row>
    <row r="22" spans="1:15" hidden="1" x14ac:dyDescent="0.3">
      <c r="A22" t="s">
        <v>145</v>
      </c>
      <c r="B22" s="59">
        <v>5</v>
      </c>
      <c r="D22" s="8" t="s">
        <v>146</v>
      </c>
      <c r="E22" s="60" t="s">
        <v>203</v>
      </c>
      <c r="G22" s="8" t="s">
        <v>148</v>
      </c>
      <c r="H22" s="59">
        <f>COUNTIF(Beheersingsniveaus!$C$4:$C$154,$E22)</f>
        <v>3</v>
      </c>
    </row>
    <row r="23" spans="1:15" x14ac:dyDescent="0.3">
      <c r="A23" t="s">
        <v>78</v>
      </c>
      <c r="B23" s="61" t="s">
        <v>149</v>
      </c>
      <c r="C23" s="61" t="s">
        <v>80</v>
      </c>
      <c r="D23" s="61">
        <v>0</v>
      </c>
      <c r="E23" s="61">
        <v>1</v>
      </c>
      <c r="F23" s="61">
        <v>2</v>
      </c>
      <c r="G23" s="61">
        <v>3</v>
      </c>
      <c r="H23" t="s">
        <v>85</v>
      </c>
      <c r="I23" t="s">
        <v>150</v>
      </c>
      <c r="J23" t="s">
        <v>151</v>
      </c>
      <c r="K23" t="s">
        <v>152</v>
      </c>
      <c r="L23" t="s">
        <v>153</v>
      </c>
      <c r="M23" t="s">
        <v>32</v>
      </c>
      <c r="N23" t="s">
        <v>30</v>
      </c>
      <c r="O23" t="s">
        <v>154</v>
      </c>
    </row>
    <row r="24" spans="1:15" ht="115.05" customHeight="1" x14ac:dyDescent="0.3">
      <c r="A24" s="63" t="s">
        <v>204</v>
      </c>
      <c r="B24" s="64" t="str">
        <f>VLOOKUP($A24,Beheersingsniveaus!$D$4:$K$154,2,FALSE)</f>
        <v>T9</v>
      </c>
      <c r="C24" s="64" t="str">
        <f>CONCATENATE(VLOOKUP($A24,Beheersingsniveaus!$D$4:$K$154,3,FALSE),IF($H24=ja,"*",""))</f>
        <v>Testen</v>
      </c>
      <c r="D24" s="65" t="str">
        <f>VLOOKUP($A24,Beheersingsniveaus!$D$4:$K$154,4,FALSE)</f>
        <v xml:space="preserve">De juiste verbetervoorstellen zijn gedaan vanuit het testen.
Niet of nauwelijks
</v>
      </c>
      <c r="E24" s="65" t="str">
        <f>VLOOKUP($A24,Beheersingsniveaus!$D$4:$K$154,5,FALSE)</f>
        <v>Enigszins</v>
      </c>
      <c r="F24" s="65" t="str">
        <f>VLOOKUP($A24,Beheersingsniveaus!$D$4:$K$154,6,FALSE)</f>
        <v>Grotendeels</v>
      </c>
      <c r="G24" s="65" t="str">
        <f>VLOOKUP($A24,Beheersingsniveaus!$D$4:$K$154,7,FALSE)</f>
        <v>Volledig</v>
      </c>
      <c r="H24" s="59">
        <f>VLOOKUP($A24,Beheersingsniveaus!$D$4:$K$154,8,FALSE)</f>
        <v>0</v>
      </c>
      <c r="I24" s="59" t="b">
        <v>1</v>
      </c>
      <c r="J24" s="59" t="b">
        <v>0</v>
      </c>
      <c r="K24" s="59" t="b">
        <v>0</v>
      </c>
      <c r="L24" s="59" t="b">
        <v>0</v>
      </c>
      <c r="M24" s="59">
        <f>IF(L24=TRUE,3,IF(K24=TRUE,2,IF(J24=TRUE,1,IF(I24=TRUE,0,0))))</f>
        <v>0</v>
      </c>
      <c r="N24" s="59">
        <f>(4-COUNTBLANK(D24:G24))-1</f>
        <v>3</v>
      </c>
      <c r="O24" s="59">
        <f>COUNTA(I24:L24)</f>
        <v>4</v>
      </c>
    </row>
    <row r="25" spans="1:15" ht="100.05" customHeight="1" x14ac:dyDescent="0.3">
      <c r="A25" s="63" t="s">
        <v>205</v>
      </c>
      <c r="B25" s="64" t="str">
        <f>VLOOKUP($A25,Beheersingsniveaus!$D$4:$K$154,2,FALSE)</f>
        <v>T9</v>
      </c>
      <c r="C25" s="64" t="str">
        <f>CONCATENATE(VLOOKUP($A25,Beheersingsniveaus!$D$4:$K$154,3,FALSE),IF($H25=ja,"*",""))</f>
        <v>Oplevering</v>
      </c>
      <c r="D25" s="65" t="str">
        <f>VLOOKUP($A25,Beheersingsniveaus!$D$4:$K$154,4,FALSE)</f>
        <v>De juiste
verbetervoorstellen
zijn gedaan vanuit 
de oplevering.
Niet of nauwelijks</v>
      </c>
      <c r="E25" s="65" t="str">
        <f>VLOOKUP($A25,Beheersingsniveaus!$D$4:$K$154,5,FALSE)</f>
        <v>Enigszins</v>
      </c>
      <c r="F25" s="65" t="str">
        <f>VLOOKUP($A25,Beheersingsniveaus!$D$4:$K$154,6,FALSE)</f>
        <v>Grotendeels</v>
      </c>
      <c r="G25" s="65" t="str">
        <f>VLOOKUP($A25,Beheersingsniveaus!$D$4:$K$154,7,FALSE)</f>
        <v>Volledig</v>
      </c>
      <c r="H25" s="59">
        <f>VLOOKUP($A25,Beheersingsniveaus!$D$4:$K$154,8,FALSE)</f>
        <v>0</v>
      </c>
      <c r="I25" s="59"/>
      <c r="J25" s="59"/>
      <c r="K25" s="59" t="b">
        <v>1</v>
      </c>
      <c r="L25" s="59" t="b">
        <v>0</v>
      </c>
      <c r="M25" s="59">
        <f>IF(L25=TRUE,3,IF(K25=TRUE,2,IF(J25=TRUE,1,IF(I25=TRUE,0,0))))</f>
        <v>2</v>
      </c>
      <c r="N25" s="59">
        <f>(4-COUNTBLANK(D25:G25))-1</f>
        <v>3</v>
      </c>
      <c r="O25" s="59">
        <f>COUNTA(I25:L25)</f>
        <v>2</v>
      </c>
    </row>
    <row r="26" spans="1:15" ht="100.05" customHeight="1" x14ac:dyDescent="0.3">
      <c r="A26" s="63" t="s">
        <v>206</v>
      </c>
      <c r="B26" s="64" t="str">
        <f>VLOOKUP($A26,Beheersingsniveaus!$D$4:$K$154,2,FALSE)</f>
        <v>T9</v>
      </c>
      <c r="C26" s="64" t="str">
        <f>CONCATENATE(VLOOKUP($A26,Beheersingsniveaus!$D$4:$K$154,3,FALSE),IF($H26=ja,"*",""))</f>
        <v>Reflectie</v>
      </c>
      <c r="D26" s="65" t="str">
        <f>VLOOKUP($A26,Beheersingsniveaus!$D$4:$K$154,4,FALSE)</f>
        <v>De juiste verbetervoorstellen zijn gedaan vanuit de reflectie.
Niet of nauwelijks</v>
      </c>
      <c r="E26" s="65" t="str">
        <f>VLOOKUP($A26,Beheersingsniveaus!$D$4:$K$154,5,FALSE)</f>
        <v>Enigszins</v>
      </c>
      <c r="F26" s="65" t="str">
        <f>VLOOKUP($A26,Beheersingsniveaus!$D$4:$K$154,6,FALSE)</f>
        <v>Grotendeels</v>
      </c>
      <c r="G26" s="65" t="str">
        <f>VLOOKUP($A26,Beheersingsniveaus!$D$4:$K$154,7,FALSE)</f>
        <v>Volledig</v>
      </c>
      <c r="H26" s="59">
        <f>VLOOKUP($A26,Beheersingsniveaus!$D$4:$K$154,8,FALSE)</f>
        <v>0</v>
      </c>
      <c r="I26" s="59"/>
      <c r="J26" s="59"/>
      <c r="K26" s="59" t="b">
        <v>1</v>
      </c>
      <c r="L26" s="59"/>
      <c r="M26" s="59">
        <f>IF(L26=TRUE,3,IF(K26=TRUE,2,IF(J26=TRUE,1,IF(I26=TRUE,0,0))))</f>
        <v>2</v>
      </c>
      <c r="N26" s="59">
        <f>(4-COUNTBLANK(D26:G26))-1</f>
        <v>3</v>
      </c>
      <c r="O26" s="59">
        <f>COUNTA(I26:L26)</f>
        <v>1</v>
      </c>
    </row>
    <row r="28" spans="1:15" ht="24" customHeight="1" x14ac:dyDescent="0.3">
      <c r="B28" s="118" t="s">
        <v>207</v>
      </c>
      <c r="C28" s="118"/>
      <c r="D28" s="118"/>
      <c r="E28" s="118"/>
      <c r="F28" s="118"/>
      <c r="G28" s="118"/>
    </row>
    <row r="29" spans="1:15" hidden="1" x14ac:dyDescent="0.3">
      <c r="A29" t="s">
        <v>145</v>
      </c>
      <c r="B29" s="59">
        <v>6</v>
      </c>
      <c r="D29" s="8" t="s">
        <v>146</v>
      </c>
      <c r="E29" s="60" t="s">
        <v>208</v>
      </c>
      <c r="G29" s="8" t="s">
        <v>148</v>
      </c>
      <c r="H29" s="59">
        <f>COUNTIF(Beheersingsniveaus!$C$4:$C$154,$E29)</f>
        <v>1</v>
      </c>
    </row>
    <row r="30" spans="1:15" x14ac:dyDescent="0.3">
      <c r="A30" t="s">
        <v>78</v>
      </c>
      <c r="B30" s="61" t="s">
        <v>149</v>
      </c>
      <c r="C30" s="61" t="s">
        <v>80</v>
      </c>
      <c r="D30" s="61">
        <v>0</v>
      </c>
      <c r="E30" s="61">
        <v>1</v>
      </c>
      <c r="F30" s="61">
        <v>2</v>
      </c>
      <c r="G30" s="61">
        <v>3</v>
      </c>
      <c r="H30" t="s">
        <v>85</v>
      </c>
      <c r="I30" t="s">
        <v>150</v>
      </c>
      <c r="J30" t="s">
        <v>151</v>
      </c>
      <c r="K30" t="s">
        <v>152</v>
      </c>
      <c r="L30" t="s">
        <v>153</v>
      </c>
      <c r="M30" t="s">
        <v>32</v>
      </c>
      <c r="N30" t="s">
        <v>30</v>
      </c>
      <c r="O30" t="s">
        <v>154</v>
      </c>
    </row>
    <row r="31" spans="1:15" ht="115.05" customHeight="1" x14ac:dyDescent="0.3">
      <c r="A31" s="63" t="s">
        <v>209</v>
      </c>
      <c r="B31" s="64" t="str">
        <f>VLOOKUP($A31,Beheersingsniveaus!$D$4:$K$154,2,FALSE)</f>
        <v>T10</v>
      </c>
      <c r="C31" s="64" t="str">
        <f>CONCATENATE(VLOOKUP($A31,Beheersingsniveaus!$D$4:$K$154,3,FALSE),IF($H31=ja,"*",""))</f>
        <v>Authenticiteit*</v>
      </c>
      <c r="D31" s="65" t="str">
        <f>VLOOKUP($A31,Beheersingsniveaus!$D$4:$K$154,4,FALSE)</f>
        <v>De examinator(en) is/zijn overtuigd van de authenticiteit van het gemaakte werk van de kandidaat. 
Nee</v>
      </c>
      <c r="E31" s="65" t="str">
        <f>VLOOKUP($A31,Beheersingsniveaus!$D$4:$K$154,5,FALSE)</f>
        <v>Ja</v>
      </c>
      <c r="F31" s="76"/>
      <c r="G31" s="76"/>
      <c r="H31" s="59" t="str">
        <f>VLOOKUP($A31,Beheersingsniveaus!$D$4:$K$154,8,FALSE)</f>
        <v>Ja</v>
      </c>
      <c r="I31" s="59" t="b">
        <v>0</v>
      </c>
      <c r="J31" s="59" t="b">
        <v>1</v>
      </c>
      <c r="K31" s="59"/>
      <c r="L31" s="59"/>
      <c r="M31" s="59">
        <f>IF(L31=TRUE,3,IF(K31=TRUE,2,IF(J31=TRUE,1,IF(I31=TRUE,0,0))))</f>
        <v>1</v>
      </c>
      <c r="N31" s="59">
        <f>(4-COUNTBLANK(D31:G31))-1</f>
        <v>1</v>
      </c>
      <c r="O31" s="59">
        <f>COUNTA(I31:L31)</f>
        <v>2</v>
      </c>
    </row>
    <row r="32" spans="1:15" x14ac:dyDescent="0.3">
      <c r="B32" t="s">
        <v>174</v>
      </c>
    </row>
    <row r="33" spans="1:10" ht="28.5" customHeight="1" x14ac:dyDescent="0.5">
      <c r="B33" s="119" t="s">
        <v>210</v>
      </c>
      <c r="C33" s="120"/>
      <c r="D33" s="120"/>
      <c r="E33" s="120"/>
      <c r="F33" s="120"/>
      <c r="G33" s="120"/>
    </row>
    <row r="34" spans="1:10" ht="26.1" customHeight="1" x14ac:dyDescent="0.3">
      <c r="B34" s="66" t="s">
        <v>176</v>
      </c>
    </row>
    <row r="35" spans="1:10" hidden="1" x14ac:dyDescent="0.3">
      <c r="B35" t="s">
        <v>177</v>
      </c>
      <c r="C35" s="59">
        <f>COUNTIF($H:$H,ja)</f>
        <v>1</v>
      </c>
      <c r="D35" s="8" t="s">
        <v>178</v>
      </c>
      <c r="E35" s="60" t="b">
        <f>IF(COUNTIF(J35:J37,FALSE)=0,TRUE,FALSE)</f>
        <v>1</v>
      </c>
    </row>
    <row r="36" spans="1:10" x14ac:dyDescent="0.3">
      <c r="A36" t="s">
        <v>78</v>
      </c>
      <c r="B36" s="68" t="s">
        <v>179</v>
      </c>
      <c r="C36" s="68"/>
      <c r="D36" s="72" t="s">
        <v>180</v>
      </c>
      <c r="E36" s="73"/>
      <c r="H36" t="s">
        <v>181</v>
      </c>
      <c r="I36" t="s">
        <v>182</v>
      </c>
      <c r="J36" t="s">
        <v>183</v>
      </c>
    </row>
    <row r="37" spans="1:10" x14ac:dyDescent="0.3">
      <c r="A37" s="59" t="s">
        <v>209</v>
      </c>
      <c r="B37" t="str">
        <f>VLOOKUP($A37,Beheersingsniveaus!$D$3:$F$154,3,FALSE)</f>
        <v>Authenticiteit</v>
      </c>
      <c r="D37" s="69" t="str">
        <f>CONCATENATE(IF(VLOOKUP(A37,A21:N32,13,FALSE)&gt;0,"Behaald","Niet behaald"))</f>
        <v>Behaald</v>
      </c>
      <c r="J37" s="59" t="b">
        <f>IF(VLOOKUP($A37,$A$21:$N$32,13,FALSE)&gt;0,TRUE,FALSE)</f>
        <v>1</v>
      </c>
    </row>
    <row r="39" spans="1:10" ht="26.1" customHeight="1" x14ac:dyDescent="0.3">
      <c r="B39" s="66" t="s">
        <v>160</v>
      </c>
    </row>
    <row r="40" spans="1:10" x14ac:dyDescent="0.3">
      <c r="B40" s="68" t="s">
        <v>161</v>
      </c>
      <c r="C40" s="68" t="s">
        <v>162</v>
      </c>
      <c r="D40" s="67" t="s">
        <v>163</v>
      </c>
    </row>
    <row r="41" spans="1:10" x14ac:dyDescent="0.3">
      <c r="B41" s="69">
        <v>0</v>
      </c>
      <c r="C41" s="70">
        <f t="shared" ref="C41:C51" si="0">ROUNDUP(IF(B41&lt;$B$8,4.5/$B$8*B41+1,4.5/($B$4-$B$8)*(B41-$B$8)+5.5),1)</f>
        <v>1</v>
      </c>
      <c r="D41" s="62" t="str">
        <f t="shared" ref="D41:D51" si="1">IF($B41=$B$5,"X","")</f>
        <v/>
      </c>
    </row>
    <row r="42" spans="1:10" x14ac:dyDescent="0.3">
      <c r="B42" s="69">
        <v>1</v>
      </c>
      <c r="C42" s="70">
        <f t="shared" si="0"/>
        <v>1.9</v>
      </c>
      <c r="D42" s="62" t="str">
        <f t="shared" si="1"/>
        <v/>
      </c>
    </row>
    <row r="43" spans="1:10" x14ac:dyDescent="0.3">
      <c r="B43" s="69">
        <v>2</v>
      </c>
      <c r="C43" s="70">
        <f t="shared" si="0"/>
        <v>2.8</v>
      </c>
      <c r="D43" s="62" t="str">
        <f t="shared" si="1"/>
        <v/>
      </c>
    </row>
    <row r="44" spans="1:10" x14ac:dyDescent="0.3">
      <c r="B44" s="69">
        <v>3</v>
      </c>
      <c r="C44" s="70">
        <f t="shared" si="0"/>
        <v>3.7</v>
      </c>
      <c r="D44" s="62" t="str">
        <f t="shared" si="1"/>
        <v/>
      </c>
    </row>
    <row r="45" spans="1:10" x14ac:dyDescent="0.3">
      <c r="B45" s="69">
        <v>4</v>
      </c>
      <c r="C45" s="70">
        <f t="shared" si="0"/>
        <v>4.5999999999999996</v>
      </c>
      <c r="D45" s="62" t="str">
        <f t="shared" si="1"/>
        <v/>
      </c>
    </row>
    <row r="46" spans="1:10" x14ac:dyDescent="0.3">
      <c r="B46" s="69">
        <v>5</v>
      </c>
      <c r="C46" s="70">
        <f t="shared" si="0"/>
        <v>5.5</v>
      </c>
      <c r="D46" s="62" t="str">
        <f t="shared" si="1"/>
        <v>X</v>
      </c>
    </row>
    <row r="47" spans="1:10" x14ac:dyDescent="0.3">
      <c r="B47" s="69">
        <v>6</v>
      </c>
      <c r="C47" s="70">
        <f t="shared" si="0"/>
        <v>6.4</v>
      </c>
      <c r="D47" s="62" t="str">
        <f t="shared" si="1"/>
        <v/>
      </c>
    </row>
    <row r="48" spans="1:10" x14ac:dyDescent="0.3">
      <c r="B48" s="69">
        <v>7</v>
      </c>
      <c r="C48" s="70">
        <f t="shared" si="0"/>
        <v>7.3</v>
      </c>
      <c r="D48" s="62" t="str">
        <f t="shared" si="1"/>
        <v/>
      </c>
    </row>
    <row r="49" spans="2:7" x14ac:dyDescent="0.3">
      <c r="B49" s="69">
        <v>8</v>
      </c>
      <c r="C49" s="70">
        <f t="shared" si="0"/>
        <v>8.1999999999999993</v>
      </c>
      <c r="D49" s="62" t="str">
        <f t="shared" si="1"/>
        <v/>
      </c>
    </row>
    <row r="50" spans="2:7" x14ac:dyDescent="0.3">
      <c r="B50" s="69">
        <v>9</v>
      </c>
      <c r="C50" s="70">
        <f t="shared" si="0"/>
        <v>9.1</v>
      </c>
      <c r="D50" s="62" t="str">
        <f t="shared" si="1"/>
        <v/>
      </c>
    </row>
    <row r="51" spans="2:7" x14ac:dyDescent="0.3">
      <c r="B51" s="69">
        <v>10</v>
      </c>
      <c r="C51" s="70">
        <f t="shared" si="0"/>
        <v>10</v>
      </c>
      <c r="D51" s="62" t="str">
        <f t="shared" si="1"/>
        <v/>
      </c>
    </row>
    <row r="52" spans="2:7" x14ac:dyDescent="0.3">
      <c r="B52" s="69">
        <f>IF(D41="X","",IF(D42="X",C42,IF(D43="X",C43,IF(D44="X",C44,IF(D45="X",C45,IF(D46="X",C46,IF(D47="X",C47,IF(D48="X",C48,IF(D49="X",C49,IF(D50="X",C50,IF(D51="X",C51,"")))))))))))</f>
        <v>5.5</v>
      </c>
      <c r="C52" s="70"/>
      <c r="D52" s="62"/>
    </row>
    <row r="54" spans="2:7" ht="26.1" customHeight="1" x14ac:dyDescent="0.3">
      <c r="B54" s="66" t="s">
        <v>164</v>
      </c>
    </row>
    <row r="55" spans="2:7" x14ac:dyDescent="0.3">
      <c r="B55" t="s">
        <v>165</v>
      </c>
    </row>
    <row r="56" spans="2:7" ht="35.1" customHeight="1" x14ac:dyDescent="0.3">
      <c r="B56" s="121" t="s">
        <v>7</v>
      </c>
      <c r="C56" s="121"/>
      <c r="D56" s="121"/>
      <c r="E56" s="121"/>
      <c r="F56" s="121"/>
      <c r="G56" s="121"/>
    </row>
    <row r="57" spans="2:7" ht="300" customHeight="1" x14ac:dyDescent="0.3">
      <c r="B57" s="117"/>
      <c r="C57" s="117"/>
      <c r="D57" s="117"/>
      <c r="E57" s="117"/>
      <c r="F57" s="117"/>
      <c r="G57" s="117"/>
    </row>
    <row r="59" spans="2:7" ht="26.1" customHeight="1" x14ac:dyDescent="0.3">
      <c r="B59" s="66" t="s">
        <v>134</v>
      </c>
    </row>
    <row r="60" spans="2:7" x14ac:dyDescent="0.3">
      <c r="B60" s="71" t="s">
        <v>166</v>
      </c>
    </row>
    <row r="61" spans="2:7" x14ac:dyDescent="0.3">
      <c r="B61" t="s">
        <v>167</v>
      </c>
    </row>
    <row r="64" spans="2:7" x14ac:dyDescent="0.3">
      <c r="B64" t="s">
        <v>168</v>
      </c>
    </row>
    <row r="65" spans="2:7" ht="50.1" customHeight="1" x14ac:dyDescent="0.3">
      <c r="B65" s="117"/>
      <c r="C65" s="117"/>
      <c r="D65" s="117"/>
      <c r="E65" s="117"/>
      <c r="F65" s="117"/>
      <c r="G65" s="117"/>
    </row>
  </sheetData>
  <mergeCells count="9">
    <mergeCell ref="B56:G56"/>
    <mergeCell ref="B57:G57"/>
    <mergeCell ref="B65:G65"/>
    <mergeCell ref="B33:G33"/>
    <mergeCell ref="B10:G10"/>
    <mergeCell ref="B11:G11"/>
    <mergeCell ref="B13:G13"/>
    <mergeCell ref="B21:G21"/>
    <mergeCell ref="B28:G28"/>
  </mergeCells>
  <conditionalFormatting sqref="B24:G24">
    <cfRule type="expression" dxfId="5" priority="1" stopIfTrue="1">
      <formula>COUNTIF($I24:$L24,TRUE)&gt;1</formula>
    </cfRule>
  </conditionalFormatting>
  <conditionalFormatting sqref="B25:G25">
    <cfRule type="expression" dxfId="4" priority="2" stopIfTrue="1">
      <formula>COUNTIF($I25:$L25,TRUE)&gt;1</formula>
    </cfRule>
  </conditionalFormatting>
  <conditionalFormatting sqref="B26:G26">
    <cfRule type="expression" dxfId="3" priority="3" stopIfTrue="1">
      <formula>COUNTIF($I26:$L26,TRUE)&gt;1</formula>
    </cfRule>
  </conditionalFormatting>
  <conditionalFormatting sqref="B31:G31">
    <cfRule type="expression" dxfId="2" priority="4" stopIfTrue="1">
      <formula>COUNTIF($I31:$L31,TRUE)&gt;1</formula>
    </cfRule>
  </conditionalFormatting>
  <conditionalFormatting sqref="B41:C52">
    <cfRule type="expression" dxfId="1" priority="5" stopIfTrue="1">
      <formula>$E$35=FALSE</formula>
    </cfRule>
  </conditionalFormatting>
  <conditionalFormatting sqref="D40:D52">
    <cfRule type="expression" dxfId="0" priority="6" stopIfTrue="1">
      <formula>$E$35=FALSE</formula>
    </cfRule>
  </conditionalFormatting>
  <pageMargins left="0.70866141732283472" right="0.70866141732283472" top="0.74803149606299213" bottom="0.74803149606299213" header="0.31496062992125984" footer="0.31496062992125984"/>
  <pageSetup paperSize="9" scale="65" fitToHeight="0" orientation="portrait" r:id="rId1"/>
  <headerFooter>
    <oddFooter>&amp;L© Stichting Praktijkleren&amp;C[Examencode]&amp;R&amp;P/&amp;N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8370" r:id="rId4" name="Check Box 2">
              <controlPr defaultSize="0" autoFill="0" autoLine="0" autoPict="0" macro="[0]!'OnClickCheckbox 24'">
                <anchor moveWithCells="1">
                  <from>
                    <xdr:col>3</xdr:col>
                    <xdr:colOff>0</xdr:colOff>
                    <xdr:row>23</xdr:row>
                    <xdr:rowOff>0</xdr:rowOff>
                  </from>
                  <to>
                    <xdr:col>4</xdr:col>
                    <xdr:colOff>0</xdr:colOff>
                    <xdr:row>23</xdr:row>
                    <xdr:rowOff>213360</xdr:rowOff>
                  </to>
                </anchor>
              </controlPr>
            </control>
          </mc:Choice>
        </mc:AlternateContent>
        <mc:AlternateContent xmlns:mc="http://schemas.openxmlformats.org/markup-compatibility/2006">
          <mc:Choice Requires="x14">
            <control shapeId="58371" r:id="rId5" name="Check Box 3">
              <controlPr defaultSize="0" autoFill="0" autoLine="0" autoPict="0" macro="[0]!'OnClickCheckbox 24'">
                <anchor moveWithCells="1">
                  <from>
                    <xdr:col>4</xdr:col>
                    <xdr:colOff>0</xdr:colOff>
                    <xdr:row>23</xdr:row>
                    <xdr:rowOff>0</xdr:rowOff>
                  </from>
                  <to>
                    <xdr:col>5</xdr:col>
                    <xdr:colOff>0</xdr:colOff>
                    <xdr:row>23</xdr:row>
                    <xdr:rowOff>213360</xdr:rowOff>
                  </to>
                </anchor>
              </controlPr>
            </control>
          </mc:Choice>
        </mc:AlternateContent>
        <mc:AlternateContent xmlns:mc="http://schemas.openxmlformats.org/markup-compatibility/2006">
          <mc:Choice Requires="x14">
            <control shapeId="58372" r:id="rId6" name="Check Box 4">
              <controlPr defaultSize="0" autoFill="0" autoLine="0" autoPict="0" macro="[0]!'OnClickCheckbox 24'">
                <anchor moveWithCells="1">
                  <from>
                    <xdr:col>5</xdr:col>
                    <xdr:colOff>0</xdr:colOff>
                    <xdr:row>23</xdr:row>
                    <xdr:rowOff>0</xdr:rowOff>
                  </from>
                  <to>
                    <xdr:col>6</xdr:col>
                    <xdr:colOff>0</xdr:colOff>
                    <xdr:row>23</xdr:row>
                    <xdr:rowOff>213360</xdr:rowOff>
                  </to>
                </anchor>
              </controlPr>
            </control>
          </mc:Choice>
        </mc:AlternateContent>
        <mc:AlternateContent xmlns:mc="http://schemas.openxmlformats.org/markup-compatibility/2006">
          <mc:Choice Requires="x14">
            <control shapeId="58373" r:id="rId7" name="Check Box 5">
              <controlPr defaultSize="0" autoFill="0" autoLine="0" autoPict="0" macro="[0]!'OnClickCheckbox 24'">
                <anchor moveWithCells="1">
                  <from>
                    <xdr:col>6</xdr:col>
                    <xdr:colOff>0</xdr:colOff>
                    <xdr:row>23</xdr:row>
                    <xdr:rowOff>0</xdr:rowOff>
                  </from>
                  <to>
                    <xdr:col>7</xdr:col>
                    <xdr:colOff>0</xdr:colOff>
                    <xdr:row>23</xdr:row>
                    <xdr:rowOff>213360</xdr:rowOff>
                  </to>
                </anchor>
              </controlPr>
            </control>
          </mc:Choice>
        </mc:AlternateContent>
        <mc:AlternateContent xmlns:mc="http://schemas.openxmlformats.org/markup-compatibility/2006">
          <mc:Choice Requires="x14">
            <control shapeId="58374" r:id="rId8" name="Check Box 6">
              <controlPr defaultSize="0" autoFill="0" autoLine="0" autoPict="0" macro="[0]!'OnClickCheckbox 25'">
                <anchor moveWithCells="1">
                  <from>
                    <xdr:col>3</xdr:col>
                    <xdr:colOff>0</xdr:colOff>
                    <xdr:row>24</xdr:row>
                    <xdr:rowOff>0</xdr:rowOff>
                  </from>
                  <to>
                    <xdr:col>4</xdr:col>
                    <xdr:colOff>0</xdr:colOff>
                    <xdr:row>24</xdr:row>
                    <xdr:rowOff>213360</xdr:rowOff>
                  </to>
                </anchor>
              </controlPr>
            </control>
          </mc:Choice>
        </mc:AlternateContent>
        <mc:AlternateContent xmlns:mc="http://schemas.openxmlformats.org/markup-compatibility/2006">
          <mc:Choice Requires="x14">
            <control shapeId="58375" r:id="rId9" name="Check Box 7">
              <controlPr defaultSize="0" autoFill="0" autoLine="0" autoPict="0" macro="[0]!'OnClickCheckbox 25'">
                <anchor moveWithCells="1">
                  <from>
                    <xdr:col>4</xdr:col>
                    <xdr:colOff>0</xdr:colOff>
                    <xdr:row>24</xdr:row>
                    <xdr:rowOff>0</xdr:rowOff>
                  </from>
                  <to>
                    <xdr:col>5</xdr:col>
                    <xdr:colOff>0</xdr:colOff>
                    <xdr:row>24</xdr:row>
                    <xdr:rowOff>213360</xdr:rowOff>
                  </to>
                </anchor>
              </controlPr>
            </control>
          </mc:Choice>
        </mc:AlternateContent>
        <mc:AlternateContent xmlns:mc="http://schemas.openxmlformats.org/markup-compatibility/2006">
          <mc:Choice Requires="x14">
            <control shapeId="58376" r:id="rId10" name="Check Box 8">
              <controlPr defaultSize="0" autoFill="0" autoLine="0" autoPict="0" macro="[0]!'OnClickCheckbox 25'">
                <anchor moveWithCells="1">
                  <from>
                    <xdr:col>5</xdr:col>
                    <xdr:colOff>0</xdr:colOff>
                    <xdr:row>24</xdr:row>
                    <xdr:rowOff>0</xdr:rowOff>
                  </from>
                  <to>
                    <xdr:col>6</xdr:col>
                    <xdr:colOff>0</xdr:colOff>
                    <xdr:row>24</xdr:row>
                    <xdr:rowOff>213360</xdr:rowOff>
                  </to>
                </anchor>
              </controlPr>
            </control>
          </mc:Choice>
        </mc:AlternateContent>
        <mc:AlternateContent xmlns:mc="http://schemas.openxmlformats.org/markup-compatibility/2006">
          <mc:Choice Requires="x14">
            <control shapeId="58377" r:id="rId11" name="Check Box 9">
              <controlPr defaultSize="0" autoFill="0" autoLine="0" autoPict="0" macro="[0]!'OnClickCheckbox 25'">
                <anchor moveWithCells="1">
                  <from>
                    <xdr:col>6</xdr:col>
                    <xdr:colOff>0</xdr:colOff>
                    <xdr:row>24</xdr:row>
                    <xdr:rowOff>0</xdr:rowOff>
                  </from>
                  <to>
                    <xdr:col>7</xdr:col>
                    <xdr:colOff>0</xdr:colOff>
                    <xdr:row>24</xdr:row>
                    <xdr:rowOff>213360</xdr:rowOff>
                  </to>
                </anchor>
              </controlPr>
            </control>
          </mc:Choice>
        </mc:AlternateContent>
        <mc:AlternateContent xmlns:mc="http://schemas.openxmlformats.org/markup-compatibility/2006">
          <mc:Choice Requires="x14">
            <control shapeId="58378" r:id="rId12" name="Check Box 10">
              <controlPr defaultSize="0" autoFill="0" autoLine="0" autoPict="0" macro="[0]!'OnClickCheckbox 26'">
                <anchor moveWithCells="1">
                  <from>
                    <xdr:col>3</xdr:col>
                    <xdr:colOff>0</xdr:colOff>
                    <xdr:row>25</xdr:row>
                    <xdr:rowOff>0</xdr:rowOff>
                  </from>
                  <to>
                    <xdr:col>4</xdr:col>
                    <xdr:colOff>0</xdr:colOff>
                    <xdr:row>25</xdr:row>
                    <xdr:rowOff>213360</xdr:rowOff>
                  </to>
                </anchor>
              </controlPr>
            </control>
          </mc:Choice>
        </mc:AlternateContent>
        <mc:AlternateContent xmlns:mc="http://schemas.openxmlformats.org/markup-compatibility/2006">
          <mc:Choice Requires="x14">
            <control shapeId="58379" r:id="rId13" name="Check Box 11">
              <controlPr defaultSize="0" autoFill="0" autoLine="0" autoPict="0" macro="[0]!'OnClickCheckbox 26'">
                <anchor moveWithCells="1">
                  <from>
                    <xdr:col>4</xdr:col>
                    <xdr:colOff>0</xdr:colOff>
                    <xdr:row>25</xdr:row>
                    <xdr:rowOff>0</xdr:rowOff>
                  </from>
                  <to>
                    <xdr:col>5</xdr:col>
                    <xdr:colOff>0</xdr:colOff>
                    <xdr:row>25</xdr:row>
                    <xdr:rowOff>213360</xdr:rowOff>
                  </to>
                </anchor>
              </controlPr>
            </control>
          </mc:Choice>
        </mc:AlternateContent>
        <mc:AlternateContent xmlns:mc="http://schemas.openxmlformats.org/markup-compatibility/2006">
          <mc:Choice Requires="x14">
            <control shapeId="58380" r:id="rId14" name="Check Box 12">
              <controlPr defaultSize="0" autoFill="0" autoLine="0" autoPict="0" macro="[0]!'OnClickCheckbox 26'">
                <anchor moveWithCells="1">
                  <from>
                    <xdr:col>5</xdr:col>
                    <xdr:colOff>0</xdr:colOff>
                    <xdr:row>25</xdr:row>
                    <xdr:rowOff>0</xdr:rowOff>
                  </from>
                  <to>
                    <xdr:col>6</xdr:col>
                    <xdr:colOff>0</xdr:colOff>
                    <xdr:row>25</xdr:row>
                    <xdr:rowOff>213360</xdr:rowOff>
                  </to>
                </anchor>
              </controlPr>
            </control>
          </mc:Choice>
        </mc:AlternateContent>
        <mc:AlternateContent xmlns:mc="http://schemas.openxmlformats.org/markup-compatibility/2006">
          <mc:Choice Requires="x14">
            <control shapeId="58381" r:id="rId15" name="Check Box 13">
              <controlPr defaultSize="0" autoFill="0" autoLine="0" autoPict="0" macro="[0]!'OnClickCheckbox 26'">
                <anchor moveWithCells="1">
                  <from>
                    <xdr:col>6</xdr:col>
                    <xdr:colOff>0</xdr:colOff>
                    <xdr:row>25</xdr:row>
                    <xdr:rowOff>0</xdr:rowOff>
                  </from>
                  <to>
                    <xdr:col>7</xdr:col>
                    <xdr:colOff>0</xdr:colOff>
                    <xdr:row>25</xdr:row>
                    <xdr:rowOff>213360</xdr:rowOff>
                  </to>
                </anchor>
              </controlPr>
            </control>
          </mc:Choice>
        </mc:AlternateContent>
        <mc:AlternateContent xmlns:mc="http://schemas.openxmlformats.org/markup-compatibility/2006">
          <mc:Choice Requires="x14">
            <control shapeId="58382" r:id="rId16" name="Check Box 14">
              <controlPr defaultSize="0" autoFill="0" autoLine="0" autoPict="0" macro="[0]!'OnClickCheckbox 31'">
                <anchor moveWithCells="1">
                  <from>
                    <xdr:col>3</xdr:col>
                    <xdr:colOff>0</xdr:colOff>
                    <xdr:row>30</xdr:row>
                    <xdr:rowOff>0</xdr:rowOff>
                  </from>
                  <to>
                    <xdr:col>4</xdr:col>
                    <xdr:colOff>0</xdr:colOff>
                    <xdr:row>30</xdr:row>
                    <xdr:rowOff>213360</xdr:rowOff>
                  </to>
                </anchor>
              </controlPr>
            </control>
          </mc:Choice>
        </mc:AlternateContent>
        <mc:AlternateContent xmlns:mc="http://schemas.openxmlformats.org/markup-compatibility/2006">
          <mc:Choice Requires="x14">
            <control shapeId="58383" r:id="rId17" name="Check Box 15">
              <controlPr defaultSize="0" autoFill="0" autoLine="0" autoPict="0" macro="[0]!'OnClickCheckbox 31'">
                <anchor moveWithCells="1">
                  <from>
                    <xdr:col>4</xdr:col>
                    <xdr:colOff>0</xdr:colOff>
                    <xdr:row>30</xdr:row>
                    <xdr:rowOff>0</xdr:rowOff>
                  </from>
                  <to>
                    <xdr:col>5</xdr:col>
                    <xdr:colOff>0</xdr:colOff>
                    <xdr:row>30</xdr:row>
                    <xdr:rowOff>213360</xdr:rowOff>
                  </to>
                </anchor>
              </controlPr>
            </control>
          </mc:Choice>
        </mc:AlternateContent>
        <mc:AlternateContent xmlns:mc="http://schemas.openxmlformats.org/markup-compatibility/2006">
          <mc:Choice Requires="x14">
            <control shapeId="58384" r:id="rId18" name="Check Box 16">
              <controlPr defaultSize="0" autoFill="0" autoLine="0" autoPict="0">
                <anchor moveWithCells="1">
                  <from>
                    <xdr:col>1</xdr:col>
                    <xdr:colOff>0</xdr:colOff>
                    <xdr:row>61</xdr:row>
                    <xdr:rowOff>0</xdr:rowOff>
                  </from>
                  <to>
                    <xdr:col>2</xdr:col>
                    <xdr:colOff>0</xdr:colOff>
                    <xdr:row>62</xdr:row>
                    <xdr:rowOff>22860</xdr:rowOff>
                  </to>
                </anchor>
              </controlPr>
            </control>
          </mc:Choice>
        </mc:AlternateContent>
        <mc:AlternateContent xmlns:mc="http://schemas.openxmlformats.org/markup-compatibility/2006">
          <mc:Choice Requires="x14">
            <control shapeId="58385" r:id="rId19" name="Check Box 17">
              <controlPr defaultSize="0" autoFill="0" autoLine="0" autoPict="0">
                <anchor moveWithCells="1">
                  <from>
                    <xdr:col>2</xdr:col>
                    <xdr:colOff>0</xdr:colOff>
                    <xdr:row>61</xdr:row>
                    <xdr:rowOff>0</xdr:rowOff>
                  </from>
                  <to>
                    <xdr:col>3</xdr:col>
                    <xdr:colOff>190500</xdr:colOff>
                    <xdr:row>62</xdr:row>
                    <xdr:rowOff>22860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d4625914-65fd-4728-8ca6-8dd98b74675a">
      <UserInfo>
        <DisplayName/>
        <AccountId xsi:nil="true"/>
        <AccountType/>
      </UserInfo>
    </SharedWithUser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BDB8B2DCE23E154E8B93945B1B296F20" ma:contentTypeVersion="8" ma:contentTypeDescription="Een nieuw document maken." ma:contentTypeScope="" ma:versionID="eac42824e1fd68b37ccbe8025b1787fe">
  <xsd:schema xmlns:xsd="http://www.w3.org/2001/XMLSchema" xmlns:xs="http://www.w3.org/2001/XMLSchema" xmlns:p="http://schemas.microsoft.com/office/2006/metadata/properties" xmlns:ns2="cc0bcded-686a-47b8-aa45-f57a8016c0eb" xmlns:ns3="d4625914-65fd-4728-8ca6-8dd98b74675a" targetNamespace="http://schemas.microsoft.com/office/2006/metadata/properties" ma:root="true" ma:fieldsID="1b0ac3d43ef848297ead5304a46e6472" ns2:_="" ns3:_="">
    <xsd:import namespace="cc0bcded-686a-47b8-aa45-f57a8016c0eb"/>
    <xsd:import namespace="d4625914-65fd-4728-8ca6-8dd98b74675a"/>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DateTaken" minOccurs="0"/>
                <xsd:element ref="ns2:MediaLengthInSeconds"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c0bcded-686a-47b8-aa45-f57a8016c0e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2" nillable="true" ma:displayName="MediaServiceDateTaken" ma:hidden="true" ma:indexed="true" ma:internalName="MediaServiceDateTaken" ma:readOnly="true">
      <xsd:simpleType>
        <xsd:restriction base="dms:Text"/>
      </xsd:simpleType>
    </xsd:element>
    <xsd:element name="MediaLengthInSeconds" ma:index="13" nillable="true" ma:displayName="MediaLengthInSeconds" ma:hidden="true" ma:internalName="MediaLengthInSeconds" ma:readOnly="true">
      <xsd:simpleType>
        <xsd:restriction base="dms:Unknown"/>
      </xsd:simpleType>
    </xsd:element>
    <xsd:element name="MediaServiceObjectDetectorVersions" ma:index="14" nillable="true" ma:displayName="MediaServiceObjectDetectorVersions" ma:hidden="true" ma:indexed="true" ma:internalName="MediaServiceObjectDetectorVersions" ma:readOnly="true">
      <xsd:simpleType>
        <xsd:restriction base="dms:Text"/>
      </xsd:simpleType>
    </xsd:element>
    <xsd:element name="MediaServiceSearchProperties" ma:index="15"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d4625914-65fd-4728-8ca6-8dd98b74675a" elementFormDefault="qualified">
    <xsd:import namespace="http://schemas.microsoft.com/office/2006/documentManagement/types"/>
    <xsd:import namespace="http://schemas.microsoft.com/office/infopath/2007/PartnerControls"/>
    <xsd:element name="SharedWithUsers" ma:index="10" nillable="true" ma:displayName="Gedeeld met"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Gedeeld met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oudstype"/>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FBC990C8-CEE2-405C-885B-A8E238363095}">
  <ds:schemaRefs>
    <ds:schemaRef ds:uri="http://schemas.microsoft.com/office/2006/metadata/properties"/>
    <ds:schemaRef ds:uri="http://schemas.microsoft.com/office/infopath/2007/PartnerControls"/>
    <ds:schemaRef ds:uri="d4625914-65fd-4728-8ca6-8dd98b74675a"/>
  </ds:schemaRefs>
</ds:datastoreItem>
</file>

<file path=customXml/itemProps2.xml><?xml version="1.0" encoding="utf-8"?>
<ds:datastoreItem xmlns:ds="http://schemas.openxmlformats.org/officeDocument/2006/customXml" ds:itemID="{08D05236-1BC1-47B3-BB96-08221093C586}">
  <ds:schemaRefs>
    <ds:schemaRef ds:uri="http://schemas.microsoft.com/sharepoint/v3/contenttype/forms"/>
  </ds:schemaRefs>
</ds:datastoreItem>
</file>

<file path=customXml/itemProps3.xml><?xml version="1.0" encoding="utf-8"?>
<ds:datastoreItem xmlns:ds="http://schemas.openxmlformats.org/officeDocument/2006/customXml" ds:itemID="{14E4C138-E3ED-4E34-9608-8DF731746A1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c0bcded-686a-47b8-aa45-f57a8016c0eb"/>
    <ds:schemaRef ds:uri="d4625914-65fd-4728-8ca6-8dd98b74675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Werkbladen</vt:lpstr>
      </vt:variant>
      <vt:variant>
        <vt:i4>6</vt:i4>
      </vt:variant>
      <vt:variant>
        <vt:lpstr>Benoemde bereiken</vt:lpstr>
      </vt:variant>
      <vt:variant>
        <vt:i4>20</vt:i4>
      </vt:variant>
    </vt:vector>
  </HeadingPairs>
  <TitlesOfParts>
    <vt:vector size="26" baseType="lpstr">
      <vt:lpstr>Voorblad</vt:lpstr>
      <vt:lpstr>B1-K1-W1</vt:lpstr>
      <vt:lpstr>B1-K1-W2</vt:lpstr>
      <vt:lpstr>B1-K1-W3</vt:lpstr>
      <vt:lpstr>B1-K1-W4</vt:lpstr>
      <vt:lpstr>B1-K1-W5</vt:lpstr>
      <vt:lpstr>'B1-K1-W1'!Afdrukbereik</vt:lpstr>
      <vt:lpstr>'B1-K1-W2'!Afdrukbereik</vt:lpstr>
      <vt:lpstr>'B1-K1-W3'!Afdrukbereik</vt:lpstr>
      <vt:lpstr>'B1-K1-W4'!Afdrukbereik</vt:lpstr>
      <vt:lpstr>'B1-K1-W5'!Afdrukbereik</vt:lpstr>
      <vt:lpstr>SjabloonVoorblad!Afdrukbereik</vt:lpstr>
      <vt:lpstr>SjabloonWerkproces!Afdrukbereik</vt:lpstr>
      <vt:lpstr>Voorblad!Afdrukbereik</vt:lpstr>
      <vt:lpstr>beheersingsniveaus</vt:lpstr>
      <vt:lpstr>copyrightText</vt:lpstr>
      <vt:lpstr>debug</vt:lpstr>
      <vt:lpstr>examencode</vt:lpstr>
      <vt:lpstr>ja</vt:lpstr>
      <vt:lpstr>kerntaakCode</vt:lpstr>
      <vt:lpstr>kerntaakNaam</vt:lpstr>
      <vt:lpstr>layoutGreyedOut</vt:lpstr>
      <vt:lpstr>nee</vt:lpstr>
      <vt:lpstr>KerntakenEnWerkprocessen!OLE_LINK1</vt:lpstr>
      <vt:lpstr>showHandtekeningKandidaat</vt:lpstr>
      <vt:lpstr>werkprocessen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Digitaal beoordelingsformulier</dc:title>
  <dc:subject/>
  <dc:creator>Paul Ootjers</dc:creator>
  <cp:keywords/>
  <dc:description/>
  <cp:lastModifiedBy>Hamza Taha</cp:lastModifiedBy>
  <cp:revision/>
  <dcterms:created xsi:type="dcterms:W3CDTF">2015-10-30T11:14:52Z</dcterms:created>
  <dcterms:modified xsi:type="dcterms:W3CDTF">2024-11-08T08:40:51Z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0x010100BDB8B2DCE23E154E8B93945B1B296F20</vt:lpwstr>
  </property>
  <property fmtid="{D5CDD505-2E9C-101B-9397-08002B2CF9AE}" pid="3" name="Order">
    <vt:r8>603200</vt:r8>
  </property>
  <property fmtid="{D5CDD505-2E9C-101B-9397-08002B2CF9AE}" pid="4" name="xd_Signature">
    <vt:bool>false</vt:bool>
  </property>
  <property fmtid="{D5CDD505-2E9C-101B-9397-08002B2CF9AE}" pid="5" name="xd_ProgID">
    <vt:lpwstr/>
  </property>
  <property fmtid="{D5CDD505-2E9C-101B-9397-08002B2CF9AE}" pid="6" name="_ExtendedDescription">
    <vt:lpwstr/>
  </property>
  <property fmtid="{D5CDD505-2E9C-101B-9397-08002B2CF9AE}" pid="7" name="TriggerFlowInfo">
    <vt:lpwstr/>
  </property>
  <property fmtid="{D5CDD505-2E9C-101B-9397-08002B2CF9AE}" pid="8" name="ComplianceAssetId">
    <vt:lpwstr/>
  </property>
  <property fmtid="{D5CDD505-2E9C-101B-9397-08002B2CF9AE}" pid="9" name="TemplateUrl">
    <vt:lpwstr/>
  </property>
  <property fmtid="{D5CDD505-2E9C-101B-9397-08002B2CF9AE}" pid="10" name="MediaServiceImageTags">
    <vt:lpwstr/>
  </property>
</Properties>
</file>